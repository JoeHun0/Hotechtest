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orráskódok\saját\Java\iskolabol\hotech\"/>
    </mc:Choice>
  </mc:AlternateContent>
  <bookViews>
    <workbookView xWindow="0" yWindow="0" windowWidth="15345" windowHeight="3945" tabRatio="599" firstSheet="1" activeTab="8"/>
  </bookViews>
  <sheets>
    <sheet name="Altalanos" sheetId="1" r:id="rId1"/>
    <sheet name="Thom" sheetId="3" r:id="rId2"/>
    <sheet name="Rhom" sheetId="2" r:id="rId3"/>
    <sheet name="Tua" sheetId="4" r:id="rId4"/>
    <sheet name="Hatfok" sheetId="5" r:id="rId5"/>
    <sheet name="Gozpar" sheetId="6" r:id="rId6"/>
    <sheet name="Vizpar" sheetId="9" r:id="rId7"/>
    <sheet name="Tuztadat" sheetId="7" r:id="rId8"/>
    <sheet name="Vegyes" sheetId="8" r:id="rId9"/>
    <sheet name="Logika" sheetId="10" r:id="rId10"/>
  </sheets>
  <definedNames>
    <definedName name="_xlnm.Print_Area" localSheetId="7">Tuztadat!$A$1:$E$27</definedName>
  </definedNames>
  <calcPr calcId="162913"/>
  <fileRecoveryPr repairLoad="1"/>
</workbook>
</file>

<file path=xl/calcChain.xml><?xml version="1.0" encoding="utf-8"?>
<calcChain xmlns="http://schemas.openxmlformats.org/spreadsheetml/2006/main">
  <c r="AB9" i="2" l="1"/>
  <c r="AB26" i="2" l="1"/>
  <c r="AB25" i="2"/>
  <c r="AB24" i="2"/>
  <c r="AB23" i="2"/>
  <c r="AB20" i="2"/>
  <c r="AB19" i="2"/>
  <c r="AB18" i="2"/>
  <c r="AB8" i="2"/>
  <c r="AA29" i="2" l="1"/>
  <c r="AB21" i="2"/>
  <c r="AB7" i="2" l="1"/>
  <c r="AB6" i="2"/>
  <c r="I20" i="3" l="1"/>
  <c r="AB10" i="2" l="1"/>
  <c r="AB17" i="2" l="1"/>
  <c r="AB22" i="2" l="1"/>
  <c r="C16" i="7" l="1"/>
  <c r="AA31" i="2"/>
  <c r="C49" i="4" l="1"/>
  <c r="C25" i="4" l="1"/>
</calcChain>
</file>

<file path=xl/sharedStrings.xml><?xml version="1.0" encoding="utf-8"?>
<sst xmlns="http://schemas.openxmlformats.org/spreadsheetml/2006/main" count="547" uniqueCount="302">
  <si>
    <t>Adatbeviteli hőtechnika számító programhoz</t>
  </si>
  <si>
    <t>Tüzelőanyag</t>
  </si>
  <si>
    <t>Tüzelőanyag arányok</t>
  </si>
  <si>
    <t>Légfelesleg</t>
  </si>
  <si>
    <t>Kilépő füstgáz hőmérséklet iterációhoz</t>
  </si>
  <si>
    <t>Hatásfok számításhoz adatok</t>
  </si>
  <si>
    <t>Névleges gőzteljesítmény megadása</t>
  </si>
  <si>
    <t>Névleges újrahevített gőzmennyiség</t>
  </si>
  <si>
    <t>Gőz (víz bemenő, kilépő paramétereinek megadása</t>
  </si>
  <si>
    <t>Nyomásveszteségek megadása</t>
  </si>
  <si>
    <t>Tűztér adatainak emgadása</t>
  </si>
  <si>
    <t>Égéslevegő hőmérsékletének megadása</t>
  </si>
  <si>
    <t>aa, b1 xx megadása</t>
  </si>
  <si>
    <t>Elpiszkolódás megadása mup</t>
  </si>
  <si>
    <t>Rhom megadása</t>
  </si>
  <si>
    <t>Thom megadása</t>
  </si>
  <si>
    <t>konvektív felület logika bevitele</t>
  </si>
  <si>
    <t>Víz-
s.</t>
  </si>
  <si>
    <t>1. V.
2. T .v.
3. G.</t>
  </si>
  <si>
    <t>1. Soros
2. Sakkt.
0. Nincs</t>
  </si>
  <si>
    <t>1. Mer.
2. Párh.</t>
  </si>
  <si>
    <t>1. Ellen
2. Egyen</t>
  </si>
  <si>
    <t>1. Belépő
2. Kilépő
0. Nincs</t>
  </si>
  <si>
    <t>1. Nincs
2. Van</t>
  </si>
  <si>
    <t>0=nem
1=igen</t>
  </si>
  <si>
    <t>1. Van
2. Nincs</t>
  </si>
  <si>
    <t>0=nin.
1-2-n
gők.</t>
  </si>
  <si>
    <t>0=nincs
1=van</t>
  </si>
  <si>
    <t>m</t>
  </si>
  <si>
    <t>db</t>
  </si>
  <si>
    <t>Tűztér felülete</t>
  </si>
  <si>
    <t>Összes fűtött felület</t>
  </si>
  <si>
    <t>felt</t>
  </si>
  <si>
    <r>
      <t>ife</t>
    </r>
    <r>
      <rPr>
        <sz val="11"/>
        <color theme="1"/>
        <rFont val="Calibri"/>
        <family val="2"/>
        <charset val="238"/>
        <scheme val="minor"/>
      </rPr>
      <t xml:space="preserve">
Füstgáz 
sorrend</t>
    </r>
  </si>
  <si>
    <r>
      <t>tetabe</t>
    </r>
    <r>
      <rPr>
        <sz val="11"/>
        <color theme="1"/>
        <rFont val="Calibri"/>
        <family val="2"/>
        <charset val="238"/>
        <scheme val="minor"/>
      </rPr>
      <t xml:space="preserve">
belépőfg. Hőm.
(C )</t>
    </r>
  </si>
  <si>
    <r>
      <t>igs</t>
    </r>
    <r>
      <rPr>
        <sz val="11"/>
        <color theme="1"/>
        <rFont val="Calibri"/>
        <family val="2"/>
        <charset val="238"/>
        <scheme val="minor"/>
      </rPr>
      <t xml:space="preserve">
gőz 
sorrend</t>
    </r>
  </si>
  <si>
    <r>
      <t xml:space="preserve">tetaki </t>
    </r>
    <r>
      <rPr>
        <sz val="11"/>
        <color theme="1"/>
        <rFont val="Calibri"/>
        <family val="2"/>
        <charset val="238"/>
        <scheme val="minor"/>
      </rPr>
      <t xml:space="preserve">
belépőfg. Hőm.
(C )</t>
    </r>
  </si>
  <si>
    <r>
      <t>fmf</t>
    </r>
    <r>
      <rPr>
        <sz val="11"/>
        <color theme="1"/>
        <rFont val="Calibri"/>
        <family val="2"/>
        <charset val="238"/>
        <scheme val="minor"/>
      </rPr>
      <t xml:space="preserve">
fő melléf.
Sorsz.</t>
    </r>
  </si>
  <si>
    <r>
      <t>suf</t>
    </r>
    <r>
      <rPr>
        <sz val="11"/>
        <color theme="1"/>
        <rFont val="Calibri"/>
        <family val="2"/>
        <charset val="238"/>
        <scheme val="minor"/>
      </rPr>
      <t xml:space="preserve">
lesugárzó
 felület
sug veszthez.
(m2)</t>
    </r>
  </si>
  <si>
    <r>
      <t>mx.</t>
    </r>
    <r>
      <rPr>
        <sz val="11"/>
        <color theme="1"/>
        <rFont val="Calibri"/>
        <family val="2"/>
        <charset val="238"/>
        <scheme val="minor"/>
      </rPr>
      <t xml:space="preserve">
Légf növ.
%</t>
    </r>
  </si>
  <si>
    <r>
      <t>kx</t>
    </r>
    <r>
      <rPr>
        <sz val="11"/>
        <color theme="1"/>
        <rFont val="Calibri"/>
        <family val="2"/>
        <charset val="238"/>
        <scheme val="minor"/>
      </rPr>
      <t xml:space="preserve">
Légbet.
%</t>
    </r>
  </si>
  <si>
    <t>1</t>
  </si>
  <si>
    <r>
      <t>mf3</t>
    </r>
    <r>
      <rPr>
        <sz val="11"/>
        <color theme="1"/>
        <rFont val="Calibri"/>
        <family val="2"/>
        <charset val="238"/>
        <scheme val="minor"/>
      </rPr>
      <t xml:space="preserve">
harmadik mellékf. sorsz.</t>
    </r>
  </si>
  <si>
    <r>
      <t>mf2</t>
    </r>
    <r>
      <rPr>
        <sz val="11"/>
        <color theme="1"/>
        <rFont val="Calibri"/>
        <family val="2"/>
        <charset val="238"/>
        <scheme val="minor"/>
      </rPr>
      <t xml:space="preserve">
második  mellékf sorsz.</t>
    </r>
  </si>
  <si>
    <r>
      <t xml:space="preserve">mf4
</t>
    </r>
    <r>
      <rPr>
        <sz val="10"/>
        <rFont val="Arial CE"/>
        <charset val="238"/>
      </rPr>
      <t>negyedik mellékf. sorsz</t>
    </r>
  </si>
  <si>
    <t>@</t>
  </si>
  <si>
    <t>c</t>
  </si>
  <si>
    <t>h</t>
  </si>
  <si>
    <t>s</t>
  </si>
  <si>
    <t>o2</t>
  </si>
  <si>
    <t>n2</t>
  </si>
  <si>
    <t>h2o</t>
  </si>
  <si>
    <t>hamu</t>
  </si>
  <si>
    <t>hi</t>
  </si>
  <si>
    <t>neve:</t>
  </si>
  <si>
    <t>szen</t>
  </si>
  <si>
    <t>nad</t>
  </si>
  <si>
    <t>fa</t>
  </si>
  <si>
    <t>%</t>
  </si>
  <si>
    <t>összesen</t>
  </si>
  <si>
    <t>Szilárd tüzelőanyagok</t>
  </si>
  <si>
    <t>Gáznemű tüzelőanyagok</t>
  </si>
  <si>
    <t>tuasz1</t>
  </si>
  <si>
    <t>tuasz2</t>
  </si>
  <si>
    <t>tuasz3</t>
  </si>
  <si>
    <t>tuasz4</t>
  </si>
  <si>
    <t>tuasz5</t>
  </si>
  <si>
    <t>tuag1</t>
  </si>
  <si>
    <t>h2</t>
  </si>
  <si>
    <t>ch4</t>
  </si>
  <si>
    <t>cxhy</t>
  </si>
  <si>
    <t>co2</t>
  </si>
  <si>
    <t>co</t>
  </si>
  <si>
    <t>tuag2</t>
  </si>
  <si>
    <t>tuag3</t>
  </si>
  <si>
    <t>tuag4</t>
  </si>
  <si>
    <t>tuag5</t>
  </si>
  <si>
    <t>Szilárd tüzelőanyag arányok</t>
  </si>
  <si>
    <t>Gáznemű tüzelőanyag arányok</t>
  </si>
  <si>
    <t>Légfelesleg a lángban</t>
  </si>
  <si>
    <t>tuasza1</t>
  </si>
  <si>
    <t>tuasza2</t>
  </si>
  <si>
    <t>tuasza3</t>
  </si>
  <si>
    <t>tuasza4</t>
  </si>
  <si>
    <t>tuasza5</t>
  </si>
  <si>
    <t>tuaga1</t>
  </si>
  <si>
    <t>tuaga2</t>
  </si>
  <si>
    <t>tuaga3</t>
  </si>
  <si>
    <t>tuaga4</t>
  </si>
  <si>
    <t>tuaga5</t>
  </si>
  <si>
    <t>-</t>
  </si>
  <si>
    <t>C</t>
  </si>
  <si>
    <t>Előzetesen felvett kilépő hőmérséklet (tetakk)</t>
  </si>
  <si>
    <t>Elégetlen (ke)</t>
  </si>
  <si>
    <t>Névleges gőzmennyiség (gn)</t>
  </si>
  <si>
    <t>t/h</t>
  </si>
  <si>
    <t>Kazán teljesítmény (g)</t>
  </si>
  <si>
    <t>Rhom adatok</t>
  </si>
  <si>
    <t>Thom adatok</t>
  </si>
  <si>
    <t>bar</t>
  </si>
  <si>
    <t>Kilépő gőz/víz nyomása (pk)</t>
  </si>
  <si>
    <t>Nyomásveszteség a dob és a belépő tápfej között (dpvh)</t>
  </si>
  <si>
    <t>°C</t>
  </si>
  <si>
    <t>Tápvíz hőmérséklete (ttv)</t>
  </si>
  <si>
    <t>Kilépő újrahevített gőz nyomása (pku)</t>
  </si>
  <si>
    <t>Kilépő újrahevített gőz hőmérséklete (tkiu)</t>
  </si>
  <si>
    <t>Belépő újrahevített gőz nyomása (pbu)</t>
  </si>
  <si>
    <t>Belépő újrahevített gőz hőmérséklete (tbeu)</t>
  </si>
  <si>
    <t>Újrahevített gőz mennyisége (gu)</t>
  </si>
  <si>
    <t>Újra hevített gőz mennyisége (gusz)</t>
  </si>
  <si>
    <t>m3</t>
  </si>
  <si>
    <t>Tűztér térfogat (ktt)</t>
  </si>
  <si>
    <t>Tűztér felület (fott)</t>
  </si>
  <si>
    <t>m2</t>
  </si>
  <si>
    <t>Hűtetlen felület (fhtl)</t>
  </si>
  <si>
    <t>Tűztér magasság (ttm)</t>
  </si>
  <si>
    <t>Szögtényező (xszt)</t>
  </si>
  <si>
    <t>Átsugárzó felület (ftth)</t>
  </si>
  <si>
    <t>Fő rács felület (ffracs)</t>
  </si>
  <si>
    <t>Főrács mellékfelülete (fszfe)</t>
  </si>
  <si>
    <t>Tűztérbe lépő forró levegő hőmérséklete (tfol)</t>
  </si>
  <si>
    <t>Recirkuláltatott füstgáz mennyisége (mvvrec)</t>
  </si>
  <si>
    <t>Láng elhelyezkedése (aa)</t>
  </si>
  <si>
    <t>Láng elhelyezkedése (b1)</t>
  </si>
  <si>
    <t>Égő magassága (hé)</t>
  </si>
  <si>
    <t>Tűztéri elpiszkolódás (mup)</t>
  </si>
  <si>
    <t>pakura</t>
  </si>
  <si>
    <t>szénpor</t>
  </si>
  <si>
    <t>ragadós hamuju szénpor</t>
  </si>
  <si>
    <t>rostély</t>
  </si>
  <si>
    <t>samottal borított</t>
  </si>
  <si>
    <t>Borda adatok (nem Rhom)</t>
  </si>
  <si>
    <t>Vas hővezetési tényezője (lambda)</t>
  </si>
  <si>
    <t>Nyomásveszteség a dobtól gőz kilépésig (dpd)</t>
  </si>
  <si>
    <t>cl</t>
  </si>
  <si>
    <t>fluor</t>
  </si>
  <si>
    <t>foldgaz</t>
  </si>
  <si>
    <t>alternativ foldgaz</t>
  </si>
  <si>
    <t>olaj</t>
  </si>
  <si>
    <t>c2h6</t>
  </si>
  <si>
    <t>c3h8</t>
  </si>
  <si>
    <t>c4h10</t>
  </si>
  <si>
    <t>egyeb gaz</t>
  </si>
  <si>
    <t>hidrogén gaz</t>
  </si>
  <si>
    <t>alternativ</t>
  </si>
  <si>
    <t>alternativ gaz</t>
  </si>
  <si>
    <t>H gaz</t>
  </si>
  <si>
    <t>egyeb gaz 1</t>
  </si>
  <si>
    <t>egyeb gaz 2</t>
  </si>
  <si>
    <t>Lambdasz (m)</t>
  </si>
  <si>
    <t>Lambdag (m)</t>
  </si>
  <si>
    <t>Előzetesen felvett hatásfok (keta)</t>
  </si>
  <si>
    <t>Szállópergye a hamuból (persz)</t>
  </si>
  <si>
    <t>Salak a hamuból (salsz)</t>
  </si>
  <si>
    <t>Maradó szénmonoxid (coeln)</t>
  </si>
  <si>
    <t>mg/nm3</t>
  </si>
  <si>
    <t>El nem égett karbon a hamuban (celn)</t>
  </si>
  <si>
    <t xml:space="preserve">% </t>
  </si>
  <si>
    <t>Salakbekötési tényező (bsa)</t>
  </si>
  <si>
    <t>(kc)</t>
  </si>
  <si>
    <t>(kapa1)</t>
  </si>
  <si>
    <t>(kapa2)</t>
  </si>
  <si>
    <t>értéke:1 sovány szeneknél, 0,5 jó szenekesetében</t>
  </si>
  <si>
    <t>0,1 szénportüzelésnél 0,03 rostélytüzelésnél</t>
  </si>
  <si>
    <t>Környezeti levegő hőmérséket (tlevk)</t>
  </si>
  <si>
    <t>W/(m*K)</t>
  </si>
  <si>
    <t>TUA Tüzelőanyag bemenet</t>
  </si>
  <si>
    <t>Hatfok Hatásfok számításhoz bemenő adatok</t>
  </si>
  <si>
    <r>
      <t xml:space="preserve">feltip
 </t>
    </r>
    <r>
      <rPr>
        <sz val="10"/>
        <rFont val="Arial CE"/>
        <charset val="238"/>
      </rPr>
      <t>felület típus
1 vízcsöves
2 füstcsöves víz hőcs
3 léghevítő füstgáz csöves
4 léghevítő levegőcsöves</t>
    </r>
  </si>
  <si>
    <t>Gozpar Gőzparaméterek</t>
  </si>
  <si>
    <t>Tuztadat Tűztéradatok</t>
  </si>
  <si>
    <t>Tűztéri légbetörés (mx)</t>
  </si>
  <si>
    <t>h2s</t>
  </si>
  <si>
    <t>so2</t>
  </si>
  <si>
    <t>ro</t>
  </si>
  <si>
    <t>gáz:</t>
  </si>
  <si>
    <t>olaj:</t>
  </si>
  <si>
    <t>nagy illó szén:</t>
  </si>
  <si>
    <t>Kis illó szén</t>
  </si>
  <si>
    <t>Láng elhelyezkedése xe</t>
  </si>
  <si>
    <t>Számítja</t>
  </si>
  <si>
    <t>elégetlen</t>
  </si>
  <si>
    <t>1=100%
0,5=50%, stb</t>
  </si>
  <si>
    <t>Rev</t>
  </si>
  <si>
    <t>Teljesítmény</t>
  </si>
  <si>
    <t>MW</t>
  </si>
  <si>
    <t>Kazánba belépő víz hőmérséklete</t>
  </si>
  <si>
    <t>Kazánból kilépő víz hőmérséklete</t>
  </si>
  <si>
    <t>Kazánban lévő víz átlagnyomása</t>
  </si>
  <si>
    <t>Buborékos fluid</t>
  </si>
  <si>
    <t>0,85 - 0,9</t>
  </si>
  <si>
    <t>Növelt tűztéti hőálló falazattal</t>
  </si>
  <si>
    <t>vizpar Vízparaméterek forróvizes kazánhoz</t>
  </si>
  <si>
    <t>Névleges keringtetett vízmennyiség</t>
  </si>
  <si>
    <t>Vegyes információk</t>
  </si>
  <si>
    <t>Projekt megnevezése</t>
  </si>
  <si>
    <t>Számítás dátuma</t>
  </si>
  <si>
    <t>Első befecskendezés utáni hőmérséklet (tkibef1)</t>
  </si>
  <si>
    <r>
      <t>tgbe</t>
    </r>
    <r>
      <rPr>
        <sz val="12"/>
        <rFont val="Times New Roman"/>
        <family val="1"/>
        <charset val="238"/>
      </rPr>
      <t xml:space="preserve">
(C)</t>
    </r>
  </si>
  <si>
    <r>
      <t>tgki</t>
    </r>
    <r>
      <rPr>
        <sz val="12"/>
        <rFont val="Times New Roman"/>
        <family val="1"/>
        <charset val="238"/>
      </rPr>
      <t xml:space="preserve">
(C)</t>
    </r>
  </si>
  <si>
    <r>
      <t>zz</t>
    </r>
    <r>
      <rPr>
        <sz val="12"/>
        <rFont val="Times New Roman"/>
        <family val="1"/>
        <charset val="238"/>
      </rPr>
      <t xml:space="preserve">
víz 
típus</t>
    </r>
  </si>
  <si>
    <r>
      <t>csr</t>
    </r>
    <r>
      <rPr>
        <sz val="12"/>
        <rFont val="Times New Roman"/>
        <family val="1"/>
        <charset val="238"/>
      </rPr>
      <t xml:space="preserve">
cső
elr.</t>
    </r>
  </si>
  <si>
    <r>
      <t>fgar</t>
    </r>
    <r>
      <rPr>
        <sz val="12"/>
        <rFont val="Times New Roman"/>
        <family val="1"/>
        <charset val="238"/>
      </rPr>
      <t xml:space="preserve">
füstg.
áram</t>
    </r>
  </si>
  <si>
    <r>
      <t>kpcs</t>
    </r>
    <r>
      <rPr>
        <sz val="12"/>
        <rFont val="Times New Roman"/>
        <family val="1"/>
        <charset val="238"/>
      </rPr>
      <t xml:space="preserve">
kapcs.</t>
    </r>
  </si>
  <si>
    <r>
      <t>kere</t>
    </r>
    <r>
      <rPr>
        <sz val="12"/>
        <rFont val="Times New Roman"/>
        <family val="1"/>
        <charset val="238"/>
      </rPr>
      <t xml:space="preserve">
ker.
hőm.</t>
    </r>
  </si>
  <si>
    <r>
      <t>bef</t>
    </r>
    <r>
      <rPr>
        <sz val="12"/>
        <rFont val="Times New Roman"/>
        <family val="1"/>
        <charset val="238"/>
      </rPr>
      <t xml:space="preserve">
bef. 
Fel. Után</t>
    </r>
  </si>
  <si>
    <r>
      <t>dk</t>
    </r>
    <r>
      <rPr>
        <sz val="12"/>
        <rFont val="Times New Roman"/>
        <family val="1"/>
        <charset val="238"/>
      </rPr>
      <t xml:space="preserve">
cső átm
(m)</t>
    </r>
  </si>
  <si>
    <r>
      <t>fal</t>
    </r>
    <r>
      <rPr>
        <sz val="12"/>
        <rFont val="Times New Roman"/>
        <family val="1"/>
        <charset val="238"/>
      </rPr>
      <t xml:space="preserve">
csőfal v.
(m)</t>
    </r>
  </si>
  <si>
    <r>
      <t>z1</t>
    </r>
    <r>
      <rPr>
        <sz val="12"/>
        <rFont val="Times New Roman"/>
        <family val="1"/>
        <charset val="238"/>
      </rPr>
      <t xml:space="preserve">
cs.sz.
mer.
(db)</t>
    </r>
  </si>
  <si>
    <r>
      <t>z2</t>
    </r>
    <r>
      <rPr>
        <sz val="12"/>
        <rFont val="Times New Roman"/>
        <family val="1"/>
        <charset val="238"/>
      </rPr>
      <t xml:space="preserve">
cs.sz
párh.
(db)</t>
    </r>
  </si>
  <si>
    <r>
      <t>t1</t>
    </r>
    <r>
      <rPr>
        <sz val="12"/>
        <rFont val="Times New Roman"/>
        <family val="1"/>
        <charset val="238"/>
      </rPr>
      <t xml:space="preserve">
osztás
meről.
(m)</t>
    </r>
  </si>
  <si>
    <r>
      <t>t2</t>
    </r>
    <r>
      <rPr>
        <sz val="12"/>
        <rFont val="Times New Roman"/>
        <family val="1"/>
        <charset val="238"/>
      </rPr>
      <t xml:space="preserve">
oszás
párhuz.
(m)</t>
    </r>
  </si>
  <si>
    <r>
      <t>lcs</t>
    </r>
    <r>
      <rPr>
        <sz val="12"/>
        <rFont val="Times New Roman"/>
        <family val="1"/>
        <charset val="238"/>
      </rPr>
      <t xml:space="preserve">
csőhossz
a csat.ban
(m)</t>
    </r>
  </si>
  <si>
    <r>
      <t>fmo</t>
    </r>
    <r>
      <rPr>
        <sz val="12"/>
        <rFont val="Times New Roman"/>
        <family val="1"/>
        <charset val="238"/>
      </rPr>
      <t xml:space="preserve">
Füstgáz mennyiség oszása
%</t>
    </r>
  </si>
  <si>
    <r>
      <t xml:space="preserve">borda
</t>
    </r>
    <r>
      <rPr>
        <sz val="12"/>
        <rFont val="Times New Roman"/>
        <family val="1"/>
        <charset val="238"/>
      </rPr>
      <t>bor-
dás
cső</t>
    </r>
  </si>
  <si>
    <r>
      <t>af</t>
    </r>
    <r>
      <rPr>
        <sz val="12"/>
        <rFont val="Times New Roman"/>
        <family val="1"/>
        <charset val="238"/>
      </rPr>
      <t xml:space="preserve">
Hőátadó
felület
(m2)</t>
    </r>
  </si>
  <si>
    <r>
      <t>pcs</t>
    </r>
    <r>
      <rPr>
        <sz val="12"/>
        <rFont val="Times New Roman"/>
        <family val="1"/>
        <charset val="238"/>
      </rPr>
      <t xml:space="preserve">
páruz. 
K. Cs.
(db)</t>
    </r>
  </si>
  <si>
    <r>
      <t>bsug</t>
    </r>
    <r>
      <rPr>
        <sz val="12"/>
        <rFont val="Times New Roman"/>
        <family val="1"/>
        <charset val="238"/>
      </rPr>
      <t xml:space="preserve">
tüztből
besug.</t>
    </r>
  </si>
  <si>
    <r>
      <t>bsf</t>
    </r>
    <r>
      <rPr>
        <sz val="12"/>
        <rFont val="Times New Roman"/>
        <family val="1"/>
        <charset val="238"/>
      </rPr>
      <t xml:space="preserve">
besug.
Felület
(m2)</t>
    </r>
  </si>
  <si>
    <r>
      <t>pf</t>
    </r>
    <r>
      <rPr>
        <sz val="12"/>
        <rFont val="Times New Roman"/>
        <family val="1"/>
        <charset val="238"/>
      </rPr>
      <t xml:space="preserve">
nyomás 
a csőben
(bar)</t>
    </r>
  </si>
  <si>
    <r>
      <t>tbo</t>
    </r>
    <r>
      <rPr>
        <sz val="12"/>
        <rFont val="Times New Roman"/>
        <family val="1"/>
        <charset val="238"/>
      </rPr>
      <t xml:space="preserve">
gőzbe-
olvasás.
Helye
(Honnét jön a gőz)</t>
    </r>
  </si>
  <si>
    <r>
      <t>gkr</t>
    </r>
    <r>
      <rPr>
        <sz val="12"/>
        <rFont val="Times New Roman"/>
        <family val="1"/>
        <charset val="238"/>
      </rPr>
      <t xml:space="preserve">
gőz
körök
(PL: újrahev)</t>
    </r>
  </si>
  <si>
    <r>
      <t>ife</t>
    </r>
    <r>
      <rPr>
        <sz val="12"/>
        <rFont val="Times New Roman"/>
        <family val="1"/>
        <charset val="238"/>
      </rPr>
      <t xml:space="preserve">
fg.
Sorr.</t>
    </r>
  </si>
  <si>
    <r>
      <t>bfs</t>
    </r>
    <r>
      <rPr>
        <sz val="12"/>
        <rFont val="Times New Roman"/>
        <family val="1"/>
        <charset val="238"/>
      </rPr>
      <t xml:space="preserve">
bef.
Sorr.</t>
    </r>
  </si>
  <si>
    <r>
      <t>kil</t>
    </r>
    <r>
      <rPr>
        <sz val="12"/>
        <rFont val="Times New Roman"/>
        <family val="1"/>
        <charset val="238"/>
      </rPr>
      <t xml:space="preserve">
kilép.
a
gőz a kazánból</t>
    </r>
  </si>
  <si>
    <r>
      <t>fkht</t>
    </r>
    <r>
      <rPr>
        <sz val="12"/>
        <rFont val="Times New Roman"/>
        <family val="1"/>
        <charset val="238"/>
      </rPr>
      <t xml:space="preserve">
Fel. Kihaszn tény</t>
    </r>
  </si>
  <si>
    <r>
      <t xml:space="preserve">betab
</t>
    </r>
    <r>
      <rPr>
        <sz val="12"/>
        <rFont val="Times New Roman"/>
        <family val="1"/>
        <charset val="238"/>
      </rPr>
      <t>borda vastag- ság</t>
    </r>
  </si>
  <si>
    <r>
      <t xml:space="preserve">hbo
</t>
    </r>
    <r>
      <rPr>
        <sz val="12"/>
        <rFont val="Times New Roman"/>
        <family val="1"/>
        <charset val="238"/>
      </rPr>
      <t>borda magas- ság</t>
    </r>
  </si>
  <si>
    <r>
      <t xml:space="preserve">bosz
</t>
    </r>
    <r>
      <rPr>
        <sz val="12"/>
        <rFont val="Times New Roman"/>
        <family val="1"/>
        <charset val="238"/>
      </rPr>
      <t>bordák száma</t>
    </r>
  </si>
  <si>
    <r>
      <t>akf</t>
    </r>
    <r>
      <rPr>
        <sz val="12"/>
        <rFont val="Times New Roman"/>
        <family val="1"/>
        <charset val="238"/>
      </rPr>
      <t xml:space="preserve">
fg. Csat.
Széless.
(m)</t>
    </r>
  </si>
  <si>
    <r>
      <t>bkf</t>
    </r>
    <r>
      <rPr>
        <sz val="12"/>
        <rFont val="Times New Roman"/>
        <family val="1"/>
        <charset val="238"/>
      </rPr>
      <t xml:space="preserve">
fg. Csat.
Vast.
(m)</t>
    </r>
  </si>
  <si>
    <r>
      <t>akl</t>
    </r>
    <r>
      <rPr>
        <sz val="12"/>
        <rFont val="Times New Roman"/>
        <family val="1"/>
        <charset val="238"/>
      </rPr>
      <t xml:space="preserve">
fg. Csat.
Széless.
(m)</t>
    </r>
  </si>
  <si>
    <r>
      <t>bkl</t>
    </r>
    <r>
      <rPr>
        <sz val="12"/>
        <rFont val="Times New Roman"/>
        <family val="1"/>
        <charset val="238"/>
      </rPr>
      <t xml:space="preserve">
fg. Csat.
Vast.
(m)</t>
    </r>
  </si>
  <si>
    <r>
      <t xml:space="preserve">felnam
</t>
    </r>
    <r>
      <rPr>
        <sz val="10"/>
        <rFont val="Arial CE"/>
        <charset val="238"/>
      </rPr>
      <t>felületek neve</t>
    </r>
  </si>
  <si>
    <r>
      <t xml:space="preserve">felnamr
</t>
    </r>
    <r>
      <rPr>
        <sz val="12"/>
        <rFont val="Times New Roman"/>
        <family val="1"/>
        <charset val="238"/>
      </rPr>
      <t>részletes felületnév kiosztás</t>
    </r>
  </si>
  <si>
    <t>1. fg, víz
2. fgcs, víz
3. fgcs, lev
4. lvcs, fg
5. Lj</t>
  </si>
  <si>
    <t>Tűztér szélessége</t>
  </si>
  <si>
    <t>Tűztér mélysége</t>
  </si>
  <si>
    <r>
      <t xml:space="preserve">fmocs
</t>
    </r>
    <r>
      <rPr>
        <sz val="12"/>
        <rFont val="Times New Roman"/>
        <family val="1"/>
        <charset val="238"/>
      </rPr>
      <t>füstgáz közös felületcsoportok</t>
    </r>
  </si>
  <si>
    <r>
      <t xml:space="preserve">fmok </t>
    </r>
    <r>
      <rPr>
        <sz val="12"/>
        <rFont val="Times New Roman"/>
        <family val="1"/>
        <charset val="238"/>
      </rPr>
      <t>ahova kilép a csoportos hőcserélők közös füstgáza</t>
    </r>
  </si>
  <si>
    <t>0=nics csoport
1= els csop
2=más csop
3=harm csop</t>
  </si>
  <si>
    <t>0=nincs kilépés
1=első csopo kilépés stb.
háromig</t>
  </si>
  <si>
    <t>fentartva</t>
  </si>
  <si>
    <t>Kilépő gőz/víz hőmérséklete (tkig)</t>
  </si>
  <si>
    <r>
      <t xml:space="preserve">fmfh  </t>
    </r>
    <r>
      <rPr>
        <sz val="12"/>
        <rFont val="Times New Roman"/>
        <family val="1"/>
        <charset val="238"/>
      </rPr>
      <t>figyelmbe vett belépő fg cella</t>
    </r>
  </si>
  <si>
    <t>a belépő fg előtti cella száma</t>
  </si>
  <si>
    <t>Második befecskendezés utáni hőmérséklet (tkibef2)</t>
  </si>
  <si>
    <t>Dobból elvitt telített gőz (gdob)</t>
  </si>
  <si>
    <t>A logika megadja a felületek közötti hőmérsékletek kapcsolódását és lehetővéteszi annak ellenőrzését.</t>
  </si>
  <si>
    <t>Amennyiben az adott hömérsékletek eltérése nagyobb egy előre megadott számnál, úgy a belépő hőmérsékletet igazítja a kilépő hőmérséklethez és a korrigált belépő hőmérsékletű felületet újra számolja</t>
  </si>
  <si>
    <t>Az itt megadott felületek száma meg kell egyezzen az Rhom lapon megadott felületek számával</t>
  </si>
  <si>
    <t>Füstgáz cella száma</t>
  </si>
  <si>
    <t>Feltétel szüksé-ges-e
0. nem
1. igen</t>
  </si>
  <si>
    <t>Felületek neve</t>
  </si>
  <si>
    <t>Felület típus
0. nincs vizsgálandó felület
1. egyirból illeszkedő
2. kétirból illeszkedő</t>
  </si>
  <si>
    <t>Belépő felület száma víz-gőz úton (Rhom)</t>
  </si>
  <si>
    <t>Felület típus
1. egyirból illeszkedő
2. kétirból illeszkedő</t>
  </si>
  <si>
    <t>Szekunder és tercier égéslevegő aránya az összes égéslevegőhöz képest</t>
  </si>
  <si>
    <t>Tűztérbe bevezetett szekunder és tercier levegő hőmérséklete</t>
  </si>
  <si>
    <t>Az iteráltan számított forró levegő kilépő felület sorszáma (rhom szerint), ha nincs, akkor az érték 0</t>
  </si>
  <si>
    <t>Első mellékfelület</t>
  </si>
  <si>
    <t>Második mellékfelület</t>
  </si>
  <si>
    <t>Harmadik mellékfelület</t>
  </si>
  <si>
    <t>Negyedik mellékfelület</t>
  </si>
  <si>
    <t>Fő felület</t>
  </si>
  <si>
    <t>Logikai összefüggések felületkapcsolások között</t>
  </si>
  <si>
    <t>Első gázsug tér</t>
  </si>
  <si>
    <t>Második gázsug tér</t>
  </si>
  <si>
    <t>Túlhevítő 2</t>
  </si>
  <si>
    <t>GS I.</t>
  </si>
  <si>
    <t>GS II.</t>
  </si>
  <si>
    <t>TH2</t>
  </si>
  <si>
    <t>Mellékf I.</t>
  </si>
  <si>
    <t>Mellékf II.</t>
  </si>
  <si>
    <t>Mellékf III.</t>
  </si>
  <si>
    <t>GS III.</t>
  </si>
  <si>
    <t>Konv evap 1</t>
  </si>
  <si>
    <t>Belépő felület száma víz-gőz út sorendben (Rhom)</t>
  </si>
  <si>
    <t>ECO 2</t>
  </si>
  <si>
    <t>ECO 1</t>
  </si>
  <si>
    <t>KOBE hőhasznosító kazán 18- 19 - 300 t/h - bar - C horizontális "B"-3</t>
  </si>
  <si>
    <t>Harmadik gázsug tér</t>
  </si>
  <si>
    <t>Túlhevítő 1C</t>
  </si>
  <si>
    <t>Túlhevítő 1B</t>
  </si>
  <si>
    <t>Túlhevítő 1A</t>
  </si>
  <si>
    <t>Negyedik gázsug tér</t>
  </si>
  <si>
    <t>ECO 3</t>
  </si>
  <si>
    <t>Konvektív elg 1</t>
  </si>
  <si>
    <t>Konvektív elg 2</t>
  </si>
  <si>
    <t>Ötödik gázsug tér</t>
  </si>
  <si>
    <t>GS V.</t>
  </si>
  <si>
    <t>GS IV.</t>
  </si>
  <si>
    <t>Konv evap 2</t>
  </si>
  <si>
    <t>TH1 A</t>
  </si>
  <si>
    <t>TH1 C</t>
  </si>
  <si>
    <t>TH1 B</t>
  </si>
  <si>
    <t>Mellékf IV.</t>
  </si>
  <si>
    <t>Mellékf V.</t>
  </si>
  <si>
    <t>Mellékf VI.</t>
  </si>
  <si>
    <t>Kobe, 65 t/h hőhasznosító kazán hő technikai számítása. Tail end "C"-0.</t>
  </si>
  <si>
    <t>ECO 4</t>
  </si>
  <si>
    <t>2018.11.05d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</si>
</sst>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6"/>
      <name val="Arial CE"/>
      <family val="2"/>
      <charset val="238"/>
    </font>
    <font>
      <b/>
      <sz val="10"/>
      <name val="Arial CE"/>
      <family val="2"/>
      <charset val="238"/>
    </font>
    <font>
      <sz val="10"/>
      <name val="Arial CE"/>
      <charset val="238"/>
    </font>
    <font>
      <b/>
      <sz val="12"/>
      <name val="Arial CE"/>
      <family val="2"/>
      <charset val="238"/>
    </font>
    <font>
      <b/>
      <sz val="14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b/>
      <sz val="12"/>
      <color theme="1"/>
      <name val="Times New Roman"/>
      <family val="1"/>
      <charset val="238"/>
    </font>
    <font>
      <sz val="12"/>
      <name val="Times New Roman"/>
      <family val="1"/>
      <charset val="238"/>
    </font>
    <font>
      <sz val="12"/>
      <color theme="1"/>
      <name val="Times New Roman"/>
      <family val="1"/>
      <charset val="238"/>
    </font>
    <font>
      <b/>
      <sz val="12"/>
      <name val="Times New Roman"/>
      <family val="1"/>
      <charset val="238"/>
    </font>
    <font>
      <sz val="9"/>
      <name val="Arial CE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1" xfId="0" applyFill="1" applyBorder="1" applyAlignment="1">
      <alignment horizontal="center" vertical="center"/>
    </xf>
    <xf numFmtId="0" fontId="6" fillId="0" borderId="0" xfId="0" applyFont="1"/>
    <xf numFmtId="0" fontId="0" fillId="0" borderId="0" xfId="0" applyAlignment="1">
      <alignment wrapText="1"/>
    </xf>
    <xf numFmtId="0" fontId="8" fillId="0" borderId="0" xfId="0" applyFont="1"/>
    <xf numFmtId="0" fontId="7" fillId="0" borderId="0" xfId="0" applyFont="1"/>
    <xf numFmtId="0" fontId="6" fillId="0" borderId="11" xfId="0" applyFont="1" applyBorder="1"/>
    <xf numFmtId="0" fontId="0" fillId="0" borderId="11" xfId="0" applyBorder="1"/>
    <xf numFmtId="0" fontId="0" fillId="2" borderId="11" xfId="0" applyFill="1" applyBorder="1"/>
    <xf numFmtId="0" fontId="0" fillId="0" borderId="0" xfId="0" applyFill="1"/>
    <xf numFmtId="0" fontId="0" fillId="0" borderId="11" xfId="0" applyFill="1" applyBorder="1"/>
    <xf numFmtId="0" fontId="0" fillId="0" borderId="11" xfId="0" applyFill="1" applyBorder="1" applyProtection="1">
      <protection locked="0"/>
    </xf>
    <xf numFmtId="0" fontId="0" fillId="0" borderId="11" xfId="0" applyFill="1" applyBorder="1" applyAlignment="1">
      <alignment wrapText="1"/>
    </xf>
    <xf numFmtId="0" fontId="0" fillId="2" borderId="11" xfId="0" applyFill="1" applyBorder="1" applyProtection="1">
      <protection locked="0"/>
    </xf>
    <xf numFmtId="0" fontId="8" fillId="0" borderId="0" xfId="0" applyFont="1" applyFill="1"/>
    <xf numFmtId="0" fontId="0" fillId="2" borderId="0" xfId="0" applyFill="1"/>
    <xf numFmtId="14" fontId="0" fillId="0" borderId="0" xfId="0" applyNumberFormat="1"/>
    <xf numFmtId="0" fontId="9" fillId="0" borderId="0" xfId="0" applyFont="1" applyFill="1"/>
    <xf numFmtId="0" fontId="10" fillId="0" borderId="0" xfId="0" applyFont="1" applyFill="1" applyAlignment="1">
      <alignment horizontal="center" vertical="center"/>
    </xf>
    <xf numFmtId="0" fontId="10" fillId="0" borderId="0" xfId="0" applyFont="1" applyFill="1"/>
    <xf numFmtId="0" fontId="10" fillId="0" borderId="0" xfId="0" applyFont="1" applyFill="1" applyBorder="1"/>
    <xf numFmtId="0" fontId="12" fillId="0" borderId="1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 wrapText="1"/>
    </xf>
    <xf numFmtId="49" fontId="12" fillId="0" borderId="6" xfId="0" applyNumberFormat="1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vertical="top"/>
    </xf>
    <xf numFmtId="0" fontId="10" fillId="0" borderId="3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vertical="top"/>
    </xf>
    <xf numFmtId="0" fontId="10" fillId="0" borderId="3" xfId="0" applyFont="1" applyFill="1" applyBorder="1" applyAlignment="1">
      <alignment vertical="top" wrapText="1"/>
    </xf>
    <xf numFmtId="0" fontId="10" fillId="0" borderId="9" xfId="0" applyFont="1" applyFill="1" applyBorder="1" applyAlignment="1">
      <alignment vertical="top" wrapText="1"/>
    </xf>
    <xf numFmtId="0" fontId="10" fillId="0" borderId="4" xfId="0" applyFont="1" applyFill="1" applyBorder="1" applyAlignment="1">
      <alignment vertical="top"/>
    </xf>
    <xf numFmtId="0" fontId="10" fillId="0" borderId="5" xfId="0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10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vertical="top"/>
    </xf>
    <xf numFmtId="0" fontId="10" fillId="0" borderId="11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right" vertical="top"/>
    </xf>
    <xf numFmtId="0" fontId="10" fillId="0" borderId="11" xfId="0" applyFont="1" applyFill="1" applyBorder="1"/>
    <xf numFmtId="0" fontId="10" fillId="0" borderId="10" xfId="0" applyFont="1" applyFill="1" applyBorder="1"/>
    <xf numFmtId="0" fontId="10" fillId="0" borderId="4" xfId="0" applyFont="1" applyFill="1" applyBorder="1" applyAlignment="1">
      <alignment vertical="top" wrapText="1"/>
    </xf>
    <xf numFmtId="0" fontId="0" fillId="0" borderId="7" xfId="0" applyBorder="1" applyAlignment="1">
      <alignment horizontal="center" vertical="center" wrapText="1"/>
    </xf>
    <xf numFmtId="0" fontId="13" fillId="0" borderId="15" xfId="0" applyFont="1" applyFill="1" applyBorder="1" applyAlignment="1">
      <alignment horizontal="center" vertical="top"/>
    </xf>
    <xf numFmtId="0" fontId="0" fillId="0" borderId="15" xfId="0" applyBorder="1"/>
    <xf numFmtId="0" fontId="13" fillId="0" borderId="16" xfId="0" applyFont="1" applyFill="1" applyBorder="1" applyAlignment="1">
      <alignment horizontal="center" vertical="top"/>
    </xf>
    <xf numFmtId="0" fontId="0" fillId="0" borderId="16" xfId="0" applyBorder="1"/>
    <xf numFmtId="0" fontId="0" fillId="0" borderId="17" xfId="0" applyBorder="1"/>
    <xf numFmtId="0" fontId="0" fillId="2" borderId="11" xfId="0" applyFill="1" applyBorder="1" applyAlignment="1">
      <alignment wrapText="1"/>
    </xf>
    <xf numFmtId="0" fontId="0" fillId="0" borderId="0" xfId="0" applyFill="1" applyAlignment="1">
      <alignment wrapText="1"/>
    </xf>
    <xf numFmtId="0" fontId="0" fillId="2" borderId="16" xfId="0" applyFill="1" applyBorder="1"/>
    <xf numFmtId="0" fontId="10" fillId="0" borderId="10" xfId="0" applyFont="1" applyFill="1" applyBorder="1" applyAlignment="1">
      <alignment vertical="top"/>
    </xf>
    <xf numFmtId="0" fontId="6" fillId="0" borderId="0" xfId="0" applyFont="1" applyFill="1"/>
    <xf numFmtId="0" fontId="0" fillId="0" borderId="0" xfId="0" applyFill="1" applyAlignment="1">
      <alignment horizontal="left" vertical="center"/>
    </xf>
    <xf numFmtId="14" fontId="0" fillId="0" borderId="0" xfId="0" applyNumberForma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/>
    <xf numFmtId="0" fontId="3" fillId="0" borderId="7" xfId="0" applyFont="1" applyFill="1" applyBorder="1" applyAlignment="1">
      <alignment horizontal="center" vertical="center" wrapText="1"/>
    </xf>
    <xf numFmtId="164" fontId="0" fillId="0" borderId="11" xfId="0" applyNumberFormat="1" applyFill="1" applyBorder="1" applyAlignment="1">
      <alignment horizontal="center" vertical="center"/>
    </xf>
    <xf numFmtId="49" fontId="0" fillId="2" borderId="12" xfId="0" applyNumberFormat="1" applyFill="1" applyBorder="1" applyAlignment="1">
      <alignment horizontal="center" vertical="center"/>
    </xf>
    <xf numFmtId="49" fontId="0" fillId="2" borderId="10" xfId="0" applyNumberFormat="1" applyFill="1" applyBorder="1" applyAlignment="1">
      <alignment horizontal="center" vertical="center"/>
    </xf>
    <xf numFmtId="0" fontId="0" fillId="0" borderId="16" xfId="0" applyFill="1" applyBorder="1"/>
    <xf numFmtId="49" fontId="0" fillId="0" borderId="0" xfId="0" applyNumberFormat="1" applyFill="1" applyBorder="1" applyAlignment="1">
      <alignment horizontal="center" vertical="center"/>
    </xf>
    <xf numFmtId="0" fontId="10" fillId="0" borderId="12" xfId="0" applyFont="1" applyFill="1" applyBorder="1" applyAlignment="1">
      <alignment vertical="top" wrapText="1"/>
    </xf>
    <xf numFmtId="0" fontId="10" fillId="0" borderId="12" xfId="0" applyFont="1" applyFill="1" applyBorder="1" applyAlignment="1">
      <alignment vertical="top"/>
    </xf>
    <xf numFmtId="0" fontId="10" fillId="0" borderId="12" xfId="0" applyFont="1" applyFill="1" applyBorder="1" applyAlignment="1">
      <alignment horizontal="right" vertical="top"/>
    </xf>
    <xf numFmtId="0" fontId="10" fillId="0" borderId="10" xfId="0" applyFont="1" applyFill="1" applyBorder="1" applyAlignment="1">
      <alignment horizontal="right" vertical="top"/>
    </xf>
    <xf numFmtId="0" fontId="0" fillId="0" borderId="12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/>
    </xf>
    <xf numFmtId="49" fontId="0" fillId="0" borderId="12" xfId="0" applyNumberFormat="1" applyFill="1" applyBorder="1" applyAlignment="1">
      <alignment horizontal="center" vertical="center"/>
    </xf>
    <xf numFmtId="0" fontId="0" fillId="0" borderId="10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/>
    </xf>
    <xf numFmtId="0" fontId="11" fillId="0" borderId="2" xfId="0" applyFont="1" applyFill="1" applyBorder="1" applyAlignment="1"/>
    <xf numFmtId="14" fontId="10" fillId="0" borderId="0" xfId="0" applyNumberFormat="1" applyFont="1" applyFill="1" applyAlignment="1"/>
    <xf numFmtId="0" fontId="11" fillId="0" borderId="0" xfId="0" applyFont="1" applyFill="1" applyAlignment="1"/>
    <xf numFmtId="0" fontId="1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6" fillId="0" borderId="0" xfId="0" applyFont="1" applyAlignment="1"/>
    <xf numFmtId="0" fontId="0" fillId="0" borderId="0" xfId="0" applyAlignment="1"/>
    <xf numFmtId="0" fontId="5" fillId="0" borderId="13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wrapText="1"/>
    </xf>
    <xf numFmtId="0" fontId="4" fillId="0" borderId="14" xfId="0" applyFont="1" applyBorder="1" applyAlignment="1">
      <alignment horizontal="center" vertical="center" wrapText="1"/>
    </xf>
    <xf numFmtId="0" fontId="0" fillId="0" borderId="6" xfId="0" applyBorder="1" applyAlignment="1"/>
    <xf numFmtId="0" fontId="0" fillId="0" borderId="0" xfId="0" applyAlignment="1">
      <alignment wrapText="1"/>
    </xf>
    <xf numFmtId="0" fontId="0" fillId="0" borderId="7" xfId="0" applyBorder="1" applyAlignment="1">
      <alignment horizontal="center" vertical="center" wrapText="1"/>
    </xf>
    <xf numFmtId="0" fontId="0" fillId="0" borderId="7" xfId="0" applyBorder="1" applyAlignment="1">
      <alignment vertical="center" wrapText="1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A33"/>
  <sheetViews>
    <sheetView workbookViewId="0">
      <selection activeCell="N33" sqref="N33"/>
    </sheetView>
  </sheetViews>
  <sheetFormatPr defaultRowHeight="15" x14ac:dyDescent="0.25"/>
  <sheetData>
    <row r="1" spans="1:1" ht="15.75" x14ac:dyDescent="0.25">
      <c r="A1" s="1" t="s">
        <v>0</v>
      </c>
    </row>
    <row r="3" spans="1:1" x14ac:dyDescent="0.25">
      <c r="A3" t="s">
        <v>1</v>
      </c>
    </row>
    <row r="5" spans="1:1" x14ac:dyDescent="0.25">
      <c r="A5" t="s">
        <v>2</v>
      </c>
    </row>
    <row r="7" spans="1:1" x14ac:dyDescent="0.25">
      <c r="A7" t="s">
        <v>3</v>
      </c>
    </row>
    <row r="9" spans="1:1" x14ac:dyDescent="0.25">
      <c r="A9" t="s">
        <v>4</v>
      </c>
    </row>
    <row r="11" spans="1:1" x14ac:dyDescent="0.25">
      <c r="A11" t="s">
        <v>5</v>
      </c>
    </row>
    <row r="13" spans="1:1" x14ac:dyDescent="0.25">
      <c r="A13" t="s">
        <v>6</v>
      </c>
    </row>
    <row r="15" spans="1:1" x14ac:dyDescent="0.25">
      <c r="A15" t="s">
        <v>7</v>
      </c>
    </row>
    <row r="17" spans="1:1" x14ac:dyDescent="0.25">
      <c r="A17" t="s">
        <v>8</v>
      </c>
    </row>
    <row r="19" spans="1:1" x14ac:dyDescent="0.25">
      <c r="A19" t="s">
        <v>9</v>
      </c>
    </row>
    <row r="21" spans="1:1" x14ac:dyDescent="0.25">
      <c r="A21" t="s">
        <v>10</v>
      </c>
    </row>
    <row r="23" spans="1:1" x14ac:dyDescent="0.25">
      <c r="A23" t="s">
        <v>11</v>
      </c>
    </row>
    <row r="25" spans="1:1" x14ac:dyDescent="0.25">
      <c r="A25" t="s">
        <v>12</v>
      </c>
    </row>
    <row r="27" spans="1:1" x14ac:dyDescent="0.25">
      <c r="A27" t="s">
        <v>13</v>
      </c>
    </row>
    <row r="29" spans="1:1" x14ac:dyDescent="0.25">
      <c r="A29" t="s">
        <v>14</v>
      </c>
    </row>
    <row r="31" spans="1:1" x14ac:dyDescent="0.25">
      <c r="A31" t="s">
        <v>15</v>
      </c>
    </row>
    <row r="33" spans="1:1" x14ac:dyDescent="0.25">
      <c r="A33" t="s">
        <v>16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>
    <tabColor rgb="FFFFFF00"/>
  </sheetPr>
  <dimension ref="A1:BE20"/>
  <sheetViews>
    <sheetView topLeftCell="A4" zoomScale="90" zoomScaleNormal="90" workbookViewId="0">
      <selection activeCell="A5" sqref="A5"/>
    </sheetView>
  </sheetViews>
  <sheetFormatPr defaultRowHeight="15" x14ac:dyDescent="0.25"/>
  <cols>
    <col min="1" max="1" width="8" style="75" customWidth="1"/>
    <col min="2" max="11" width="9.140625" style="75"/>
    <col min="12" max="12" width="14" style="75" customWidth="1"/>
    <col min="13" max="13" width="21.42578125" style="57" bestFit="1" customWidth="1"/>
    <col min="14" max="258" width="9.140625" style="75"/>
    <col min="259" max="259" width="8" style="75" customWidth="1"/>
    <col min="260" max="268" width="9.140625" style="75"/>
    <col min="269" max="269" width="12.42578125" style="75" bestFit="1" customWidth="1"/>
    <col min="270" max="514" width="9.140625" style="75"/>
    <col min="515" max="515" width="8" style="75" customWidth="1"/>
    <col min="516" max="524" width="9.140625" style="75"/>
    <col min="525" max="525" width="12.42578125" style="75" bestFit="1" customWidth="1"/>
    <col min="526" max="770" width="9.140625" style="75"/>
    <col min="771" max="771" width="8" style="75" customWidth="1"/>
    <col min="772" max="780" width="9.140625" style="75"/>
    <col min="781" max="781" width="12.42578125" style="75" bestFit="1" customWidth="1"/>
    <col min="782" max="1026" width="9.140625" style="75"/>
    <col min="1027" max="1027" width="8" style="75" customWidth="1"/>
    <col min="1028" max="1036" width="9.140625" style="75"/>
    <col min="1037" max="1037" width="12.42578125" style="75" bestFit="1" customWidth="1"/>
    <col min="1038" max="1282" width="9.140625" style="75"/>
    <col min="1283" max="1283" width="8" style="75" customWidth="1"/>
    <col min="1284" max="1292" width="9.140625" style="75"/>
    <col min="1293" max="1293" width="12.42578125" style="75" bestFit="1" customWidth="1"/>
    <col min="1294" max="1538" width="9.140625" style="75"/>
    <col min="1539" max="1539" width="8" style="75" customWidth="1"/>
    <col min="1540" max="1548" width="9.140625" style="75"/>
    <col min="1549" max="1549" width="12.42578125" style="75" bestFit="1" customWidth="1"/>
    <col min="1550" max="1794" width="9.140625" style="75"/>
    <col min="1795" max="1795" width="8" style="75" customWidth="1"/>
    <col min="1796" max="1804" width="9.140625" style="75"/>
    <col min="1805" max="1805" width="12.42578125" style="75" bestFit="1" customWidth="1"/>
    <col min="1806" max="2050" width="9.140625" style="75"/>
    <col min="2051" max="2051" width="8" style="75" customWidth="1"/>
    <col min="2052" max="2060" width="9.140625" style="75"/>
    <col min="2061" max="2061" width="12.42578125" style="75" bestFit="1" customWidth="1"/>
    <col min="2062" max="2306" width="9.140625" style="75"/>
    <col min="2307" max="2307" width="8" style="75" customWidth="1"/>
    <col min="2308" max="2316" width="9.140625" style="75"/>
    <col min="2317" max="2317" width="12.42578125" style="75" bestFit="1" customWidth="1"/>
    <col min="2318" max="2562" width="9.140625" style="75"/>
    <col min="2563" max="2563" width="8" style="75" customWidth="1"/>
    <col min="2564" max="2572" width="9.140625" style="75"/>
    <col min="2573" max="2573" width="12.42578125" style="75" bestFit="1" customWidth="1"/>
    <col min="2574" max="2818" width="9.140625" style="75"/>
    <col min="2819" max="2819" width="8" style="75" customWidth="1"/>
    <col min="2820" max="2828" width="9.140625" style="75"/>
    <col min="2829" max="2829" width="12.42578125" style="75" bestFit="1" customWidth="1"/>
    <col min="2830" max="3074" width="9.140625" style="75"/>
    <col min="3075" max="3075" width="8" style="75" customWidth="1"/>
    <col min="3076" max="3084" width="9.140625" style="75"/>
    <col min="3085" max="3085" width="12.42578125" style="75" bestFit="1" customWidth="1"/>
    <col min="3086" max="3330" width="9.140625" style="75"/>
    <col min="3331" max="3331" width="8" style="75" customWidth="1"/>
    <col min="3332" max="3340" width="9.140625" style="75"/>
    <col min="3341" max="3341" width="12.42578125" style="75" bestFit="1" customWidth="1"/>
    <col min="3342" max="3586" width="9.140625" style="75"/>
    <col min="3587" max="3587" width="8" style="75" customWidth="1"/>
    <col min="3588" max="3596" width="9.140625" style="75"/>
    <col min="3597" max="3597" width="12.42578125" style="75" bestFit="1" customWidth="1"/>
    <col min="3598" max="3842" width="9.140625" style="75"/>
    <col min="3843" max="3843" width="8" style="75" customWidth="1"/>
    <col min="3844" max="3852" width="9.140625" style="75"/>
    <col min="3853" max="3853" width="12.42578125" style="75" bestFit="1" customWidth="1"/>
    <col min="3854" max="4098" width="9.140625" style="75"/>
    <col min="4099" max="4099" width="8" style="75" customWidth="1"/>
    <col min="4100" max="4108" width="9.140625" style="75"/>
    <col min="4109" max="4109" width="12.42578125" style="75" bestFit="1" customWidth="1"/>
    <col min="4110" max="4354" width="9.140625" style="75"/>
    <col min="4355" max="4355" width="8" style="75" customWidth="1"/>
    <col min="4356" max="4364" width="9.140625" style="75"/>
    <col min="4365" max="4365" width="12.42578125" style="75" bestFit="1" customWidth="1"/>
    <col min="4366" max="4610" width="9.140625" style="75"/>
    <col min="4611" max="4611" width="8" style="75" customWidth="1"/>
    <col min="4612" max="4620" width="9.140625" style="75"/>
    <col min="4621" max="4621" width="12.42578125" style="75" bestFit="1" customWidth="1"/>
    <col min="4622" max="4866" width="9.140625" style="75"/>
    <col min="4867" max="4867" width="8" style="75" customWidth="1"/>
    <col min="4868" max="4876" width="9.140625" style="75"/>
    <col min="4877" max="4877" width="12.42578125" style="75" bestFit="1" customWidth="1"/>
    <col min="4878" max="5122" width="9.140625" style="75"/>
    <col min="5123" max="5123" width="8" style="75" customWidth="1"/>
    <col min="5124" max="5132" width="9.140625" style="75"/>
    <col min="5133" max="5133" width="12.42578125" style="75" bestFit="1" customWidth="1"/>
    <col min="5134" max="5378" width="9.140625" style="75"/>
    <col min="5379" max="5379" width="8" style="75" customWidth="1"/>
    <col min="5380" max="5388" width="9.140625" style="75"/>
    <col min="5389" max="5389" width="12.42578125" style="75" bestFit="1" customWidth="1"/>
    <col min="5390" max="5634" width="9.140625" style="75"/>
    <col min="5635" max="5635" width="8" style="75" customWidth="1"/>
    <col min="5636" max="5644" width="9.140625" style="75"/>
    <col min="5645" max="5645" width="12.42578125" style="75" bestFit="1" customWidth="1"/>
    <col min="5646" max="5890" width="9.140625" style="75"/>
    <col min="5891" max="5891" width="8" style="75" customWidth="1"/>
    <col min="5892" max="5900" width="9.140625" style="75"/>
    <col min="5901" max="5901" width="12.42578125" style="75" bestFit="1" customWidth="1"/>
    <col min="5902" max="6146" width="9.140625" style="75"/>
    <col min="6147" max="6147" width="8" style="75" customWidth="1"/>
    <col min="6148" max="6156" width="9.140625" style="75"/>
    <col min="6157" max="6157" width="12.42578125" style="75" bestFit="1" customWidth="1"/>
    <col min="6158" max="6402" width="9.140625" style="75"/>
    <col min="6403" max="6403" width="8" style="75" customWidth="1"/>
    <col min="6404" max="6412" width="9.140625" style="75"/>
    <col min="6413" max="6413" width="12.42578125" style="75" bestFit="1" customWidth="1"/>
    <col min="6414" max="6658" width="9.140625" style="75"/>
    <col min="6659" max="6659" width="8" style="75" customWidth="1"/>
    <col min="6660" max="6668" width="9.140625" style="75"/>
    <col min="6669" max="6669" width="12.42578125" style="75" bestFit="1" customWidth="1"/>
    <col min="6670" max="6914" width="9.140625" style="75"/>
    <col min="6915" max="6915" width="8" style="75" customWidth="1"/>
    <col min="6916" max="6924" width="9.140625" style="75"/>
    <col min="6925" max="6925" width="12.42578125" style="75" bestFit="1" customWidth="1"/>
    <col min="6926" max="7170" width="9.140625" style="75"/>
    <col min="7171" max="7171" width="8" style="75" customWidth="1"/>
    <col min="7172" max="7180" width="9.140625" style="75"/>
    <col min="7181" max="7181" width="12.42578125" style="75" bestFit="1" customWidth="1"/>
    <col min="7182" max="7426" width="9.140625" style="75"/>
    <col min="7427" max="7427" width="8" style="75" customWidth="1"/>
    <col min="7428" max="7436" width="9.140625" style="75"/>
    <col min="7437" max="7437" width="12.42578125" style="75" bestFit="1" customWidth="1"/>
    <col min="7438" max="7682" width="9.140625" style="75"/>
    <col min="7683" max="7683" width="8" style="75" customWidth="1"/>
    <col min="7684" max="7692" width="9.140625" style="75"/>
    <col min="7693" max="7693" width="12.42578125" style="75" bestFit="1" customWidth="1"/>
    <col min="7694" max="7938" width="9.140625" style="75"/>
    <col min="7939" max="7939" width="8" style="75" customWidth="1"/>
    <col min="7940" max="7948" width="9.140625" style="75"/>
    <col min="7949" max="7949" width="12.42578125" style="75" bestFit="1" customWidth="1"/>
    <col min="7950" max="8194" width="9.140625" style="75"/>
    <col min="8195" max="8195" width="8" style="75" customWidth="1"/>
    <col min="8196" max="8204" width="9.140625" style="75"/>
    <col min="8205" max="8205" width="12.42578125" style="75" bestFit="1" customWidth="1"/>
    <col min="8206" max="8450" width="9.140625" style="75"/>
    <col min="8451" max="8451" width="8" style="75" customWidth="1"/>
    <col min="8452" max="8460" width="9.140625" style="75"/>
    <col min="8461" max="8461" width="12.42578125" style="75" bestFit="1" customWidth="1"/>
    <col min="8462" max="8706" width="9.140625" style="75"/>
    <col min="8707" max="8707" width="8" style="75" customWidth="1"/>
    <col min="8708" max="8716" width="9.140625" style="75"/>
    <col min="8717" max="8717" width="12.42578125" style="75" bestFit="1" customWidth="1"/>
    <col min="8718" max="8962" width="9.140625" style="75"/>
    <col min="8963" max="8963" width="8" style="75" customWidth="1"/>
    <col min="8964" max="8972" width="9.140625" style="75"/>
    <col min="8973" max="8973" width="12.42578125" style="75" bestFit="1" customWidth="1"/>
    <col min="8974" max="9218" width="9.140625" style="75"/>
    <col min="9219" max="9219" width="8" style="75" customWidth="1"/>
    <col min="9220" max="9228" width="9.140625" style="75"/>
    <col min="9229" max="9229" width="12.42578125" style="75" bestFit="1" customWidth="1"/>
    <col min="9230" max="9474" width="9.140625" style="75"/>
    <col min="9475" max="9475" width="8" style="75" customWidth="1"/>
    <col min="9476" max="9484" width="9.140625" style="75"/>
    <col min="9485" max="9485" width="12.42578125" style="75" bestFit="1" customWidth="1"/>
    <col min="9486" max="9730" width="9.140625" style="75"/>
    <col min="9731" max="9731" width="8" style="75" customWidth="1"/>
    <col min="9732" max="9740" width="9.140625" style="75"/>
    <col min="9741" max="9741" width="12.42578125" style="75" bestFit="1" customWidth="1"/>
    <col min="9742" max="9986" width="9.140625" style="75"/>
    <col min="9987" max="9987" width="8" style="75" customWidth="1"/>
    <col min="9988" max="9996" width="9.140625" style="75"/>
    <col min="9997" max="9997" width="12.42578125" style="75" bestFit="1" customWidth="1"/>
    <col min="9998" max="10242" width="9.140625" style="75"/>
    <col min="10243" max="10243" width="8" style="75" customWidth="1"/>
    <col min="10244" max="10252" width="9.140625" style="75"/>
    <col min="10253" max="10253" width="12.42578125" style="75" bestFit="1" customWidth="1"/>
    <col min="10254" max="10498" width="9.140625" style="75"/>
    <col min="10499" max="10499" width="8" style="75" customWidth="1"/>
    <col min="10500" max="10508" width="9.140625" style="75"/>
    <col min="10509" max="10509" width="12.42578125" style="75" bestFit="1" customWidth="1"/>
    <col min="10510" max="10754" width="9.140625" style="75"/>
    <col min="10755" max="10755" width="8" style="75" customWidth="1"/>
    <col min="10756" max="10764" width="9.140625" style="75"/>
    <col min="10765" max="10765" width="12.42578125" style="75" bestFit="1" customWidth="1"/>
    <col min="10766" max="11010" width="9.140625" style="75"/>
    <col min="11011" max="11011" width="8" style="75" customWidth="1"/>
    <col min="11012" max="11020" width="9.140625" style="75"/>
    <col min="11021" max="11021" width="12.42578125" style="75" bestFit="1" customWidth="1"/>
    <col min="11022" max="11266" width="9.140625" style="75"/>
    <col min="11267" max="11267" width="8" style="75" customWidth="1"/>
    <col min="11268" max="11276" width="9.140625" style="75"/>
    <col min="11277" max="11277" width="12.42578125" style="75" bestFit="1" customWidth="1"/>
    <col min="11278" max="11522" width="9.140625" style="75"/>
    <col min="11523" max="11523" width="8" style="75" customWidth="1"/>
    <col min="11524" max="11532" width="9.140625" style="75"/>
    <col min="11533" max="11533" width="12.42578125" style="75" bestFit="1" customWidth="1"/>
    <col min="11534" max="11778" width="9.140625" style="75"/>
    <col min="11779" max="11779" width="8" style="75" customWidth="1"/>
    <col min="11780" max="11788" width="9.140625" style="75"/>
    <col min="11789" max="11789" width="12.42578125" style="75" bestFit="1" customWidth="1"/>
    <col min="11790" max="12034" width="9.140625" style="75"/>
    <col min="12035" max="12035" width="8" style="75" customWidth="1"/>
    <col min="12036" max="12044" width="9.140625" style="75"/>
    <col min="12045" max="12045" width="12.42578125" style="75" bestFit="1" customWidth="1"/>
    <col min="12046" max="12290" width="9.140625" style="75"/>
    <col min="12291" max="12291" width="8" style="75" customWidth="1"/>
    <col min="12292" max="12300" width="9.140625" style="75"/>
    <col min="12301" max="12301" width="12.42578125" style="75" bestFit="1" customWidth="1"/>
    <col min="12302" max="12546" width="9.140625" style="75"/>
    <col min="12547" max="12547" width="8" style="75" customWidth="1"/>
    <col min="12548" max="12556" width="9.140625" style="75"/>
    <col min="12557" max="12557" width="12.42578125" style="75" bestFit="1" customWidth="1"/>
    <col min="12558" max="12802" width="9.140625" style="75"/>
    <col min="12803" max="12803" width="8" style="75" customWidth="1"/>
    <col min="12804" max="12812" width="9.140625" style="75"/>
    <col min="12813" max="12813" width="12.42578125" style="75" bestFit="1" customWidth="1"/>
    <col min="12814" max="13058" width="9.140625" style="75"/>
    <col min="13059" max="13059" width="8" style="75" customWidth="1"/>
    <col min="13060" max="13068" width="9.140625" style="75"/>
    <col min="13069" max="13069" width="12.42578125" style="75" bestFit="1" customWidth="1"/>
    <col min="13070" max="13314" width="9.140625" style="75"/>
    <col min="13315" max="13315" width="8" style="75" customWidth="1"/>
    <col min="13316" max="13324" width="9.140625" style="75"/>
    <col min="13325" max="13325" width="12.42578125" style="75" bestFit="1" customWidth="1"/>
    <col min="13326" max="13570" width="9.140625" style="75"/>
    <col min="13571" max="13571" width="8" style="75" customWidth="1"/>
    <col min="13572" max="13580" width="9.140625" style="75"/>
    <col min="13581" max="13581" width="12.42578125" style="75" bestFit="1" customWidth="1"/>
    <col min="13582" max="13826" width="9.140625" style="75"/>
    <col min="13827" max="13827" width="8" style="75" customWidth="1"/>
    <col min="13828" max="13836" width="9.140625" style="75"/>
    <col min="13837" max="13837" width="12.42578125" style="75" bestFit="1" customWidth="1"/>
    <col min="13838" max="14082" width="9.140625" style="75"/>
    <col min="14083" max="14083" width="8" style="75" customWidth="1"/>
    <col min="14084" max="14092" width="9.140625" style="75"/>
    <col min="14093" max="14093" width="12.42578125" style="75" bestFit="1" customWidth="1"/>
    <col min="14094" max="14338" width="9.140625" style="75"/>
    <col min="14339" max="14339" width="8" style="75" customWidth="1"/>
    <col min="14340" max="14348" width="9.140625" style="75"/>
    <col min="14349" max="14349" width="12.42578125" style="75" bestFit="1" customWidth="1"/>
    <col min="14350" max="14594" width="9.140625" style="75"/>
    <col min="14595" max="14595" width="8" style="75" customWidth="1"/>
    <col min="14596" max="14604" width="9.140625" style="75"/>
    <col min="14605" max="14605" width="12.42578125" style="75" bestFit="1" customWidth="1"/>
    <col min="14606" max="14850" width="9.140625" style="75"/>
    <col min="14851" max="14851" width="8" style="75" customWidth="1"/>
    <col min="14852" max="14860" width="9.140625" style="75"/>
    <col min="14861" max="14861" width="12.42578125" style="75" bestFit="1" customWidth="1"/>
    <col min="14862" max="15106" width="9.140625" style="75"/>
    <col min="15107" max="15107" width="8" style="75" customWidth="1"/>
    <col min="15108" max="15116" width="9.140625" style="75"/>
    <col min="15117" max="15117" width="12.42578125" style="75" bestFit="1" customWidth="1"/>
    <col min="15118" max="15362" width="9.140625" style="75"/>
    <col min="15363" max="15363" width="8" style="75" customWidth="1"/>
    <col min="15364" max="15372" width="9.140625" style="75"/>
    <col min="15373" max="15373" width="12.42578125" style="75" bestFit="1" customWidth="1"/>
    <col min="15374" max="15618" width="9.140625" style="75"/>
    <col min="15619" max="15619" width="8" style="75" customWidth="1"/>
    <col min="15620" max="15628" width="9.140625" style="75"/>
    <col min="15629" max="15629" width="12.42578125" style="75" bestFit="1" customWidth="1"/>
    <col min="15630" max="15874" width="9.140625" style="75"/>
    <col min="15875" max="15875" width="8" style="75" customWidth="1"/>
    <col min="15876" max="15884" width="9.140625" style="75"/>
    <col min="15885" max="15885" width="12.42578125" style="75" bestFit="1" customWidth="1"/>
    <col min="15886" max="16130" width="9.140625" style="75"/>
    <col min="16131" max="16131" width="8" style="75" customWidth="1"/>
    <col min="16132" max="16140" width="9.140625" style="75"/>
    <col min="16141" max="16141" width="12.42578125" style="75" bestFit="1" customWidth="1"/>
    <col min="16142" max="16384" width="9.140625" style="75"/>
  </cols>
  <sheetData>
    <row r="1" spans="1:57" ht="18.75" x14ac:dyDescent="0.3">
      <c r="A1" s="56" t="s">
        <v>98</v>
      </c>
      <c r="C1" s="57"/>
      <c r="J1" s="75" t="s">
        <v>183</v>
      </c>
      <c r="K1" s="75">
        <v>0</v>
      </c>
      <c r="L1" s="58">
        <v>43291</v>
      </c>
    </row>
    <row r="2" spans="1:57" ht="20.25" x14ac:dyDescent="0.25">
      <c r="A2" s="81" t="s">
        <v>280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3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74"/>
      <c r="AD2" s="61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</row>
    <row r="3" spans="1:57" ht="120" x14ac:dyDescent="0.25">
      <c r="A3" s="62" t="s">
        <v>33</v>
      </c>
      <c r="B3" s="62" t="s">
        <v>34</v>
      </c>
      <c r="C3" s="62" t="s">
        <v>35</v>
      </c>
      <c r="D3" s="62" t="s">
        <v>36</v>
      </c>
      <c r="E3" s="62" t="s">
        <v>37</v>
      </c>
      <c r="F3" s="62" t="s">
        <v>43</v>
      </c>
      <c r="G3" s="62" t="s">
        <v>42</v>
      </c>
      <c r="H3" s="62" t="s">
        <v>44</v>
      </c>
      <c r="I3" s="62" t="s">
        <v>38</v>
      </c>
      <c r="J3" s="62" t="s">
        <v>39</v>
      </c>
      <c r="K3" s="62" t="s">
        <v>40</v>
      </c>
      <c r="L3" s="62" t="s">
        <v>168</v>
      </c>
      <c r="M3" s="62" t="s">
        <v>233</v>
      </c>
    </row>
    <row r="4" spans="1:57" x14ac:dyDescent="0.25">
      <c r="A4" s="72">
        <v>1</v>
      </c>
      <c r="B4" s="72">
        <v>1150</v>
      </c>
      <c r="C4" s="72">
        <v>5</v>
      </c>
      <c r="D4" s="73">
        <v>800</v>
      </c>
      <c r="E4" s="72">
        <v>0</v>
      </c>
      <c r="F4" s="72">
        <v>0</v>
      </c>
      <c r="G4" s="72">
        <v>0</v>
      </c>
      <c r="H4" s="72">
        <v>0</v>
      </c>
      <c r="I4" s="72">
        <v>486.7</v>
      </c>
      <c r="J4" s="76">
        <v>1</v>
      </c>
      <c r="K4" s="76">
        <v>0</v>
      </c>
      <c r="L4" s="77" t="s">
        <v>41</v>
      </c>
      <c r="M4" s="77" t="s">
        <v>266</v>
      </c>
    </row>
    <row r="5" spans="1:57" x14ac:dyDescent="0.25">
      <c r="A5" s="73">
        <v>2</v>
      </c>
      <c r="B5" s="73">
        <v>800</v>
      </c>
      <c r="C5" s="73">
        <v>6</v>
      </c>
      <c r="D5" s="73">
        <v>760</v>
      </c>
      <c r="E5" s="73">
        <v>0</v>
      </c>
      <c r="F5" s="73">
        <v>0</v>
      </c>
      <c r="G5" s="73">
        <v>0</v>
      </c>
      <c r="H5" s="73">
        <v>0</v>
      </c>
      <c r="I5" s="73">
        <v>186</v>
      </c>
      <c r="J5" s="78">
        <v>1</v>
      </c>
      <c r="K5" s="78">
        <v>0.02</v>
      </c>
      <c r="L5" s="79" t="s">
        <v>41</v>
      </c>
      <c r="M5" s="79" t="s">
        <v>267</v>
      </c>
    </row>
    <row r="6" spans="1:57" x14ac:dyDescent="0.25">
      <c r="A6" s="73">
        <v>3</v>
      </c>
      <c r="B6" s="73">
        <v>760</v>
      </c>
      <c r="C6" s="73">
        <v>7</v>
      </c>
      <c r="D6" s="73">
        <v>750</v>
      </c>
      <c r="E6" s="73">
        <v>0</v>
      </c>
      <c r="F6" s="73">
        <v>0</v>
      </c>
      <c r="G6" s="73">
        <v>0</v>
      </c>
      <c r="H6" s="73">
        <v>0</v>
      </c>
      <c r="I6" s="73">
        <v>119.7</v>
      </c>
      <c r="J6" s="80">
        <v>1.02</v>
      </c>
      <c r="K6" s="78">
        <v>0.02</v>
      </c>
      <c r="L6" s="79" t="s">
        <v>41</v>
      </c>
      <c r="M6" s="79" t="s">
        <v>281</v>
      </c>
    </row>
    <row r="7" spans="1:57" x14ac:dyDescent="0.25">
      <c r="A7" s="73">
        <v>4</v>
      </c>
      <c r="B7" s="73">
        <v>750</v>
      </c>
      <c r="C7" s="73">
        <v>15</v>
      </c>
      <c r="D7" s="73">
        <v>580</v>
      </c>
      <c r="E7" s="73">
        <v>16</v>
      </c>
      <c r="F7" s="73">
        <v>0</v>
      </c>
      <c r="G7" s="73">
        <v>0</v>
      </c>
      <c r="H7" s="73">
        <v>0</v>
      </c>
      <c r="I7" s="3">
        <v>91</v>
      </c>
      <c r="J7" s="80">
        <v>1.04</v>
      </c>
      <c r="K7" s="78">
        <v>0.01</v>
      </c>
      <c r="L7" s="79" t="s">
        <v>41</v>
      </c>
      <c r="M7" s="79" t="s">
        <v>268</v>
      </c>
    </row>
    <row r="8" spans="1:57" x14ac:dyDescent="0.25">
      <c r="A8" s="73">
        <v>5</v>
      </c>
      <c r="B8" s="73">
        <v>580</v>
      </c>
      <c r="C8" s="73">
        <v>14</v>
      </c>
      <c r="D8" s="3">
        <v>510</v>
      </c>
      <c r="E8" s="73">
        <v>17</v>
      </c>
      <c r="F8" s="73">
        <v>0</v>
      </c>
      <c r="G8" s="73">
        <v>0</v>
      </c>
      <c r="H8" s="73">
        <v>0</v>
      </c>
      <c r="I8" s="3">
        <v>45.28</v>
      </c>
      <c r="J8" s="80">
        <v>1.05</v>
      </c>
      <c r="K8" s="78">
        <v>0.01</v>
      </c>
      <c r="L8" s="79" t="s">
        <v>41</v>
      </c>
      <c r="M8" s="79" t="s">
        <v>282</v>
      </c>
    </row>
    <row r="9" spans="1:57" x14ac:dyDescent="0.25">
      <c r="A9" s="73">
        <v>6</v>
      </c>
      <c r="B9" s="73">
        <v>510</v>
      </c>
      <c r="C9" s="73">
        <v>13</v>
      </c>
      <c r="D9" s="3">
        <v>470</v>
      </c>
      <c r="E9" s="73">
        <v>18</v>
      </c>
      <c r="F9" s="73">
        <v>0</v>
      </c>
      <c r="G9" s="73">
        <v>0</v>
      </c>
      <c r="H9" s="73">
        <v>0</v>
      </c>
      <c r="I9" s="3">
        <v>45.28</v>
      </c>
      <c r="J9" s="80">
        <v>1.06</v>
      </c>
      <c r="K9" s="78">
        <v>0.01</v>
      </c>
      <c r="L9" s="79" t="s">
        <v>41</v>
      </c>
      <c r="M9" s="79" t="s">
        <v>283</v>
      </c>
    </row>
    <row r="10" spans="1:57" x14ac:dyDescent="0.25">
      <c r="A10" s="73">
        <v>7</v>
      </c>
      <c r="B10" s="73">
        <v>470</v>
      </c>
      <c r="C10" s="73">
        <v>8</v>
      </c>
      <c r="D10" s="3">
        <v>450</v>
      </c>
      <c r="E10" s="73">
        <v>0</v>
      </c>
      <c r="F10" s="73">
        <v>0</v>
      </c>
      <c r="G10" s="73">
        <v>0</v>
      </c>
      <c r="H10" s="73">
        <v>0</v>
      </c>
      <c r="I10" s="3">
        <v>46.48</v>
      </c>
      <c r="J10" s="80">
        <v>1.07</v>
      </c>
      <c r="K10" s="78">
        <v>0.02</v>
      </c>
      <c r="L10" s="79" t="s">
        <v>41</v>
      </c>
      <c r="M10" s="79" t="s">
        <v>285</v>
      </c>
    </row>
    <row r="11" spans="1:57" x14ac:dyDescent="0.25">
      <c r="A11" s="73">
        <v>8</v>
      </c>
      <c r="B11" s="73">
        <v>450</v>
      </c>
      <c r="C11" s="73">
        <v>12</v>
      </c>
      <c r="D11" s="3">
        <v>410</v>
      </c>
      <c r="E11" s="73">
        <v>19</v>
      </c>
      <c r="F11" s="73">
        <v>0</v>
      </c>
      <c r="G11" s="73">
        <v>0</v>
      </c>
      <c r="H11" s="73">
        <v>0</v>
      </c>
      <c r="I11" s="3">
        <v>45.28</v>
      </c>
      <c r="J11" s="80">
        <v>1.0900000000000001</v>
      </c>
      <c r="K11" s="78">
        <v>0.01</v>
      </c>
      <c r="L11" s="79" t="s">
        <v>41</v>
      </c>
      <c r="M11" s="79" t="s">
        <v>284</v>
      </c>
    </row>
    <row r="12" spans="1:57" x14ac:dyDescent="0.25">
      <c r="A12" s="73">
        <v>9</v>
      </c>
      <c r="B12" s="73">
        <v>410</v>
      </c>
      <c r="C12" s="73">
        <v>10</v>
      </c>
      <c r="D12" s="3">
        <v>380</v>
      </c>
      <c r="E12" s="73">
        <v>20</v>
      </c>
      <c r="F12" s="73">
        <v>0</v>
      </c>
      <c r="G12" s="73">
        <v>0</v>
      </c>
      <c r="H12" s="73">
        <v>0</v>
      </c>
      <c r="I12" s="3">
        <v>55</v>
      </c>
      <c r="J12" s="80">
        <v>1.1000000000000001</v>
      </c>
      <c r="K12" s="78">
        <v>0.01</v>
      </c>
      <c r="L12" s="79" t="s">
        <v>41</v>
      </c>
      <c r="M12" s="79" t="s">
        <v>287</v>
      </c>
    </row>
    <row r="13" spans="1:57" x14ac:dyDescent="0.25">
      <c r="A13" s="73">
        <v>10</v>
      </c>
      <c r="B13" s="73">
        <v>380</v>
      </c>
      <c r="C13" s="73">
        <v>11</v>
      </c>
      <c r="D13" s="3">
        <v>360</v>
      </c>
      <c r="E13" s="73">
        <v>21</v>
      </c>
      <c r="F13" s="73">
        <v>0</v>
      </c>
      <c r="G13" s="73">
        <v>0</v>
      </c>
      <c r="H13" s="73">
        <v>0</v>
      </c>
      <c r="I13" s="3">
        <v>55</v>
      </c>
      <c r="J13" s="80">
        <v>1.1100000000000001</v>
      </c>
      <c r="K13" s="78">
        <v>0.01</v>
      </c>
      <c r="L13" s="79" t="s">
        <v>41</v>
      </c>
      <c r="M13" s="79" t="s">
        <v>288</v>
      </c>
    </row>
    <row r="14" spans="1:57" x14ac:dyDescent="0.25">
      <c r="A14" s="73">
        <v>11</v>
      </c>
      <c r="B14" s="73">
        <v>360</v>
      </c>
      <c r="C14" s="73">
        <v>9</v>
      </c>
      <c r="D14" s="3">
        <v>340</v>
      </c>
      <c r="E14" s="73">
        <v>0</v>
      </c>
      <c r="F14" s="73">
        <v>0</v>
      </c>
      <c r="G14" s="73">
        <v>0</v>
      </c>
      <c r="H14" s="73">
        <v>0</v>
      </c>
      <c r="I14" s="3">
        <v>84.8</v>
      </c>
      <c r="J14" s="80">
        <v>1.1200000000000001</v>
      </c>
      <c r="K14" s="78">
        <v>0.02</v>
      </c>
      <c r="L14" s="79" t="s">
        <v>41</v>
      </c>
      <c r="M14" s="79" t="s">
        <v>289</v>
      </c>
    </row>
    <row r="15" spans="1:57" x14ac:dyDescent="0.25">
      <c r="A15" s="73">
        <v>12</v>
      </c>
      <c r="B15" s="73">
        <v>340</v>
      </c>
      <c r="C15" s="73">
        <v>4</v>
      </c>
      <c r="D15" s="3">
        <v>300</v>
      </c>
      <c r="E15" s="73">
        <v>0</v>
      </c>
      <c r="F15" s="73">
        <v>0</v>
      </c>
      <c r="G15" s="73">
        <v>0</v>
      </c>
      <c r="H15" s="73">
        <v>0</v>
      </c>
      <c r="I15" s="3">
        <v>28.11</v>
      </c>
      <c r="J15" s="80">
        <v>1.1399999999999999</v>
      </c>
      <c r="K15" s="78">
        <v>0.01</v>
      </c>
      <c r="L15" s="79" t="s">
        <v>41</v>
      </c>
      <c r="M15" s="79" t="s">
        <v>300</v>
      </c>
    </row>
    <row r="16" spans="1:57" x14ac:dyDescent="0.25">
      <c r="A16" s="73">
        <v>13</v>
      </c>
      <c r="B16" s="73">
        <v>340</v>
      </c>
      <c r="C16" s="73">
        <v>3</v>
      </c>
      <c r="D16" s="3">
        <v>300</v>
      </c>
      <c r="E16" s="73">
        <v>0</v>
      </c>
      <c r="F16" s="73">
        <v>0</v>
      </c>
      <c r="G16" s="73">
        <v>0</v>
      </c>
      <c r="H16" s="73">
        <v>0</v>
      </c>
      <c r="I16" s="3">
        <v>28.11</v>
      </c>
      <c r="J16" s="80">
        <v>1.1399999999999999</v>
      </c>
      <c r="K16" s="78">
        <v>0.01</v>
      </c>
      <c r="L16" s="79" t="s">
        <v>41</v>
      </c>
      <c r="M16" s="79" t="s">
        <v>286</v>
      </c>
    </row>
    <row r="17" spans="1:13" x14ac:dyDescent="0.25">
      <c r="A17" s="73">
        <v>14</v>
      </c>
      <c r="B17" s="73">
        <v>300</v>
      </c>
      <c r="C17" s="73">
        <v>2</v>
      </c>
      <c r="D17" s="3">
        <v>260</v>
      </c>
      <c r="E17" s="73">
        <v>0</v>
      </c>
      <c r="F17" s="73">
        <v>0</v>
      </c>
      <c r="G17" s="73">
        <v>0</v>
      </c>
      <c r="H17" s="73">
        <v>0</v>
      </c>
      <c r="I17" s="3">
        <v>28.11</v>
      </c>
      <c r="J17" s="80">
        <v>1.1499999999999999</v>
      </c>
      <c r="K17" s="78">
        <v>0.01</v>
      </c>
      <c r="L17" s="79" t="s">
        <v>41</v>
      </c>
      <c r="M17" s="79" t="s">
        <v>278</v>
      </c>
    </row>
    <row r="18" spans="1:13" x14ac:dyDescent="0.25">
      <c r="A18" s="73">
        <v>15</v>
      </c>
      <c r="B18" s="73">
        <v>260</v>
      </c>
      <c r="C18" s="73">
        <v>1</v>
      </c>
      <c r="D18" s="3">
        <v>230</v>
      </c>
      <c r="E18" s="73">
        <v>0</v>
      </c>
      <c r="F18" s="73">
        <v>0</v>
      </c>
      <c r="G18" s="73">
        <v>0</v>
      </c>
      <c r="H18" s="73">
        <v>0</v>
      </c>
      <c r="I18" s="3">
        <v>28.11</v>
      </c>
      <c r="J18" s="80">
        <v>1.1599999999999999</v>
      </c>
      <c r="K18" s="78">
        <v>0.01</v>
      </c>
      <c r="L18" s="79" t="s">
        <v>41</v>
      </c>
      <c r="M18" s="79" t="s">
        <v>279</v>
      </c>
    </row>
    <row r="19" spans="1:13" x14ac:dyDescent="0.25">
      <c r="A19" s="74"/>
      <c r="B19" s="74"/>
      <c r="C19" s="74"/>
      <c r="D19" s="74"/>
      <c r="E19" s="74"/>
      <c r="F19" s="74"/>
      <c r="G19" s="74"/>
      <c r="H19" s="74"/>
      <c r="I19" s="3"/>
      <c r="J19" s="67"/>
      <c r="K19" s="67"/>
      <c r="L19" s="67"/>
      <c r="M19" s="67"/>
    </row>
    <row r="20" spans="1:13" x14ac:dyDescent="0.25">
      <c r="I20" s="63">
        <f>SUM(I4:I16)</f>
        <v>1316.7399999999998</v>
      </c>
    </row>
  </sheetData>
  <mergeCells count="1">
    <mergeCell ref="A2:L2"/>
  </mergeCells>
  <pageMargins left="0.70866141732283472" right="0.11811023622047245" top="0.74803149606299213" bottom="0.74803149606299213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>
    <tabColor rgb="FFFFFF00"/>
  </sheetPr>
  <dimension ref="A1:AO37"/>
  <sheetViews>
    <sheetView zoomScale="60" zoomScaleNormal="60" workbookViewId="0">
      <selection activeCell="A27" sqref="A27"/>
    </sheetView>
  </sheetViews>
  <sheetFormatPr defaultRowHeight="15.75" x14ac:dyDescent="0.25"/>
  <cols>
    <col min="1" max="1" width="15.42578125" style="21" bestFit="1" customWidth="1"/>
    <col min="2" max="2" width="13.5703125" style="20" bestFit="1" customWidth="1"/>
    <col min="3" max="3" width="5.85546875" style="21" bestFit="1" customWidth="1"/>
    <col min="4" max="4" width="5.42578125" style="21" bestFit="1" customWidth="1"/>
    <col min="5" max="5" width="12" style="21" bestFit="1" customWidth="1"/>
    <col min="6" max="6" width="9.140625" style="21" bestFit="1" customWidth="1"/>
    <col min="7" max="7" width="10.42578125" style="21" bestFit="1" customWidth="1"/>
    <col min="8" max="8" width="9.140625" style="21" bestFit="1" customWidth="1"/>
    <col min="9" max="9" width="10.140625" style="21" bestFit="1" customWidth="1"/>
    <col min="10" max="10" width="10.85546875" style="21" bestFit="1" customWidth="1"/>
    <col min="11" max="11" width="10.5703125" style="21" bestFit="1" customWidth="1"/>
    <col min="12" max="12" width="9" style="21" bestFit="1" customWidth="1"/>
    <col min="13" max="13" width="9.42578125" style="21" bestFit="1" customWidth="1"/>
    <col min="14" max="14" width="6.85546875" style="21" bestFit="1" customWidth="1"/>
    <col min="15" max="15" width="6.42578125" style="21" bestFit="1" customWidth="1"/>
    <col min="16" max="16" width="7.5703125" style="21" bestFit="1" customWidth="1"/>
    <col min="17" max="17" width="8.42578125" style="21" bestFit="1" customWidth="1"/>
    <col min="18" max="21" width="9.5703125" style="21" bestFit="1" customWidth="1"/>
    <col min="22" max="22" width="20.42578125" style="21" bestFit="1" customWidth="1"/>
    <col min="23" max="23" width="11.140625" style="21" bestFit="1" customWidth="1"/>
    <col min="24" max="24" width="10.42578125" style="21" bestFit="1" customWidth="1"/>
    <col min="25" max="25" width="10.5703125" style="21" bestFit="1" customWidth="1"/>
    <col min="26" max="26" width="7.5703125" style="21" bestFit="1" customWidth="1"/>
    <col min="27" max="27" width="9.85546875" style="21" bestFit="1" customWidth="1"/>
    <col min="28" max="28" width="8" style="21" bestFit="1" customWidth="1"/>
    <col min="29" max="29" width="9.5703125" style="21" bestFit="1" customWidth="1"/>
    <col min="30" max="30" width="8.42578125" style="21" bestFit="1" customWidth="1"/>
    <col min="31" max="31" width="9.5703125" style="21" bestFit="1" customWidth="1"/>
    <col min="32" max="32" width="11.140625" style="21" bestFit="1" customWidth="1"/>
    <col min="33" max="33" width="8.42578125" style="21" bestFit="1" customWidth="1"/>
    <col min="34" max="34" width="6.42578125" style="21" bestFit="1" customWidth="1"/>
    <col min="35" max="35" width="9" style="21" bestFit="1" customWidth="1"/>
    <col min="36" max="36" width="6.42578125" style="21" bestFit="1" customWidth="1"/>
    <col min="37" max="38" width="9.140625" style="22" bestFit="1" customWidth="1"/>
    <col min="39" max="40" width="14.140625" style="22" bestFit="1" customWidth="1"/>
    <col min="41" max="41" width="14.42578125" style="22" bestFit="1" customWidth="1"/>
    <col min="42" max="262" width="9.140625" style="22"/>
    <col min="263" max="263" width="3.85546875" style="22" customWidth="1"/>
    <col min="264" max="264" width="11" style="22" bestFit="1" customWidth="1"/>
    <col min="265" max="266" width="4.42578125" style="22" bestFit="1" customWidth="1"/>
    <col min="267" max="267" width="5.5703125" style="22" bestFit="1" customWidth="1"/>
    <col min="268" max="268" width="6.85546875" style="22" bestFit="1" customWidth="1"/>
    <col min="269" max="269" width="6.42578125" style="22" bestFit="1" customWidth="1"/>
    <col min="270" max="270" width="7" style="22" bestFit="1" customWidth="1"/>
    <col min="271" max="271" width="7.42578125" style="22" bestFit="1" customWidth="1"/>
    <col min="272" max="272" width="6.5703125" style="22" bestFit="1" customWidth="1"/>
    <col min="273" max="274" width="7.5703125" style="22" bestFit="1" customWidth="1"/>
    <col min="275" max="275" width="6.140625" style="22" bestFit="1" customWidth="1"/>
    <col min="276" max="276" width="5.5703125" style="22" bestFit="1" customWidth="1"/>
    <col min="277" max="277" width="6.5703125" style="22" bestFit="1" customWidth="1"/>
    <col min="278" max="278" width="7.140625" style="22" bestFit="1" customWidth="1"/>
    <col min="279" max="279" width="8.42578125" style="22" bestFit="1" customWidth="1"/>
    <col min="280" max="280" width="8" style="22" bestFit="1" customWidth="1"/>
    <col min="281" max="281" width="9.5703125" style="22" bestFit="1" customWidth="1"/>
    <col min="282" max="282" width="6.5703125" style="22" customWidth="1"/>
    <col min="283" max="283" width="4.85546875" style="22" customWidth="1"/>
    <col min="284" max="284" width="8" style="22" bestFit="1" customWidth="1"/>
    <col min="285" max="285" width="6.42578125" style="22" bestFit="1" customWidth="1"/>
    <col min="286" max="287" width="6.5703125" style="22" bestFit="1" customWidth="1"/>
    <col min="288" max="288" width="8.5703125" style="22" bestFit="1" customWidth="1"/>
    <col min="289" max="289" width="7.42578125" style="22" customWidth="1"/>
    <col min="290" max="290" width="5.42578125" style="22" customWidth="1"/>
    <col min="291" max="292" width="5.5703125" style="22" customWidth="1"/>
    <col min="293" max="293" width="5.85546875" style="22" customWidth="1"/>
    <col min="294" max="294" width="7.85546875" style="22" customWidth="1"/>
    <col min="295" max="518" width="9.140625" style="22"/>
    <col min="519" max="519" width="3.85546875" style="22" customWidth="1"/>
    <col min="520" max="520" width="11" style="22" bestFit="1" customWidth="1"/>
    <col min="521" max="522" width="4.42578125" style="22" bestFit="1" customWidth="1"/>
    <col min="523" max="523" width="5.5703125" style="22" bestFit="1" customWidth="1"/>
    <col min="524" max="524" width="6.85546875" style="22" bestFit="1" customWidth="1"/>
    <col min="525" max="525" width="6.42578125" style="22" bestFit="1" customWidth="1"/>
    <col min="526" max="526" width="7" style="22" bestFit="1" customWidth="1"/>
    <col min="527" max="527" width="7.42578125" style="22" bestFit="1" customWidth="1"/>
    <col min="528" max="528" width="6.5703125" style="22" bestFit="1" customWidth="1"/>
    <col min="529" max="530" width="7.5703125" style="22" bestFit="1" customWidth="1"/>
    <col min="531" max="531" width="6.140625" style="22" bestFit="1" customWidth="1"/>
    <col min="532" max="532" width="5.5703125" style="22" bestFit="1" customWidth="1"/>
    <col min="533" max="533" width="6.5703125" style="22" bestFit="1" customWidth="1"/>
    <col min="534" max="534" width="7.140625" style="22" bestFit="1" customWidth="1"/>
    <col min="535" max="535" width="8.42578125" style="22" bestFit="1" customWidth="1"/>
    <col min="536" max="536" width="8" style="22" bestFit="1" customWidth="1"/>
    <col min="537" max="537" width="9.5703125" style="22" bestFit="1" customWidth="1"/>
    <col min="538" max="538" width="6.5703125" style="22" customWidth="1"/>
    <col min="539" max="539" width="4.85546875" style="22" customWidth="1"/>
    <col min="540" max="540" width="8" style="22" bestFit="1" customWidth="1"/>
    <col min="541" max="541" width="6.42578125" style="22" bestFit="1" customWidth="1"/>
    <col min="542" max="543" width="6.5703125" style="22" bestFit="1" customWidth="1"/>
    <col min="544" max="544" width="8.5703125" style="22" bestFit="1" customWidth="1"/>
    <col min="545" max="545" width="7.42578125" style="22" customWidth="1"/>
    <col min="546" max="546" width="5.42578125" style="22" customWidth="1"/>
    <col min="547" max="548" width="5.5703125" style="22" customWidth="1"/>
    <col min="549" max="549" width="5.85546875" style="22" customWidth="1"/>
    <col min="550" max="550" width="7.85546875" style="22" customWidth="1"/>
    <col min="551" max="774" width="9.140625" style="22"/>
    <col min="775" max="775" width="3.85546875" style="22" customWidth="1"/>
    <col min="776" max="776" width="11" style="22" bestFit="1" customWidth="1"/>
    <col min="777" max="778" width="4.42578125" style="22" bestFit="1" customWidth="1"/>
    <col min="779" max="779" width="5.5703125" style="22" bestFit="1" customWidth="1"/>
    <col min="780" max="780" width="6.85546875" style="22" bestFit="1" customWidth="1"/>
    <col min="781" max="781" width="6.42578125" style="22" bestFit="1" customWidth="1"/>
    <col min="782" max="782" width="7" style="22" bestFit="1" customWidth="1"/>
    <col min="783" max="783" width="7.42578125" style="22" bestFit="1" customWidth="1"/>
    <col min="784" max="784" width="6.5703125" style="22" bestFit="1" customWidth="1"/>
    <col min="785" max="786" width="7.5703125" style="22" bestFit="1" customWidth="1"/>
    <col min="787" max="787" width="6.140625" style="22" bestFit="1" customWidth="1"/>
    <col min="788" max="788" width="5.5703125" style="22" bestFit="1" customWidth="1"/>
    <col min="789" max="789" width="6.5703125" style="22" bestFit="1" customWidth="1"/>
    <col min="790" max="790" width="7.140625" style="22" bestFit="1" customWidth="1"/>
    <col min="791" max="791" width="8.42578125" style="22" bestFit="1" customWidth="1"/>
    <col min="792" max="792" width="8" style="22" bestFit="1" customWidth="1"/>
    <col min="793" max="793" width="9.5703125" style="22" bestFit="1" customWidth="1"/>
    <col min="794" max="794" width="6.5703125" style="22" customWidth="1"/>
    <col min="795" max="795" width="4.85546875" style="22" customWidth="1"/>
    <col min="796" max="796" width="8" style="22" bestFit="1" customWidth="1"/>
    <col min="797" max="797" width="6.42578125" style="22" bestFit="1" customWidth="1"/>
    <col min="798" max="799" width="6.5703125" style="22" bestFit="1" customWidth="1"/>
    <col min="800" max="800" width="8.5703125" style="22" bestFit="1" customWidth="1"/>
    <col min="801" max="801" width="7.42578125" style="22" customWidth="1"/>
    <col min="802" max="802" width="5.42578125" style="22" customWidth="1"/>
    <col min="803" max="804" width="5.5703125" style="22" customWidth="1"/>
    <col min="805" max="805" width="5.85546875" style="22" customWidth="1"/>
    <col min="806" max="806" width="7.85546875" style="22" customWidth="1"/>
    <col min="807" max="1030" width="9.140625" style="22"/>
    <col min="1031" max="1031" width="3.85546875" style="22" customWidth="1"/>
    <col min="1032" max="1032" width="11" style="22" bestFit="1" customWidth="1"/>
    <col min="1033" max="1034" width="4.42578125" style="22" bestFit="1" customWidth="1"/>
    <col min="1035" max="1035" width="5.5703125" style="22" bestFit="1" customWidth="1"/>
    <col min="1036" max="1036" width="6.85546875" style="22" bestFit="1" customWidth="1"/>
    <col min="1037" max="1037" width="6.42578125" style="22" bestFit="1" customWidth="1"/>
    <col min="1038" max="1038" width="7" style="22" bestFit="1" customWidth="1"/>
    <col min="1039" max="1039" width="7.42578125" style="22" bestFit="1" customWidth="1"/>
    <col min="1040" max="1040" width="6.5703125" style="22" bestFit="1" customWidth="1"/>
    <col min="1041" max="1042" width="7.5703125" style="22" bestFit="1" customWidth="1"/>
    <col min="1043" max="1043" width="6.140625" style="22" bestFit="1" customWidth="1"/>
    <col min="1044" max="1044" width="5.5703125" style="22" bestFit="1" customWidth="1"/>
    <col min="1045" max="1045" width="6.5703125" style="22" bestFit="1" customWidth="1"/>
    <col min="1046" max="1046" width="7.140625" style="22" bestFit="1" customWidth="1"/>
    <col min="1047" max="1047" width="8.42578125" style="22" bestFit="1" customWidth="1"/>
    <col min="1048" max="1048" width="8" style="22" bestFit="1" customWidth="1"/>
    <col min="1049" max="1049" width="9.5703125" style="22" bestFit="1" customWidth="1"/>
    <col min="1050" max="1050" width="6.5703125" style="22" customWidth="1"/>
    <col min="1051" max="1051" width="4.85546875" style="22" customWidth="1"/>
    <col min="1052" max="1052" width="8" style="22" bestFit="1" customWidth="1"/>
    <col min="1053" max="1053" width="6.42578125" style="22" bestFit="1" customWidth="1"/>
    <col min="1054" max="1055" width="6.5703125" style="22" bestFit="1" customWidth="1"/>
    <col min="1056" max="1056" width="8.5703125" style="22" bestFit="1" customWidth="1"/>
    <col min="1057" max="1057" width="7.42578125" style="22" customWidth="1"/>
    <col min="1058" max="1058" width="5.42578125" style="22" customWidth="1"/>
    <col min="1059" max="1060" width="5.5703125" style="22" customWidth="1"/>
    <col min="1061" max="1061" width="5.85546875" style="22" customWidth="1"/>
    <col min="1062" max="1062" width="7.85546875" style="22" customWidth="1"/>
    <col min="1063" max="1286" width="9.140625" style="22"/>
    <col min="1287" max="1287" width="3.85546875" style="22" customWidth="1"/>
    <col min="1288" max="1288" width="11" style="22" bestFit="1" customWidth="1"/>
    <col min="1289" max="1290" width="4.42578125" style="22" bestFit="1" customWidth="1"/>
    <col min="1291" max="1291" width="5.5703125" style="22" bestFit="1" customWidth="1"/>
    <col min="1292" max="1292" width="6.85546875" style="22" bestFit="1" customWidth="1"/>
    <col min="1293" max="1293" width="6.42578125" style="22" bestFit="1" customWidth="1"/>
    <col min="1294" max="1294" width="7" style="22" bestFit="1" customWidth="1"/>
    <col min="1295" max="1295" width="7.42578125" style="22" bestFit="1" customWidth="1"/>
    <col min="1296" max="1296" width="6.5703125" style="22" bestFit="1" customWidth="1"/>
    <col min="1297" max="1298" width="7.5703125" style="22" bestFit="1" customWidth="1"/>
    <col min="1299" max="1299" width="6.140625" style="22" bestFit="1" customWidth="1"/>
    <col min="1300" max="1300" width="5.5703125" style="22" bestFit="1" customWidth="1"/>
    <col min="1301" max="1301" width="6.5703125" style="22" bestFit="1" customWidth="1"/>
    <col min="1302" max="1302" width="7.140625" style="22" bestFit="1" customWidth="1"/>
    <col min="1303" max="1303" width="8.42578125" style="22" bestFit="1" customWidth="1"/>
    <col min="1304" max="1304" width="8" style="22" bestFit="1" customWidth="1"/>
    <col min="1305" max="1305" width="9.5703125" style="22" bestFit="1" customWidth="1"/>
    <col min="1306" max="1306" width="6.5703125" style="22" customWidth="1"/>
    <col min="1307" max="1307" width="4.85546875" style="22" customWidth="1"/>
    <col min="1308" max="1308" width="8" style="22" bestFit="1" customWidth="1"/>
    <col min="1309" max="1309" width="6.42578125" style="22" bestFit="1" customWidth="1"/>
    <col min="1310" max="1311" width="6.5703125" style="22" bestFit="1" customWidth="1"/>
    <col min="1312" max="1312" width="8.5703125" style="22" bestFit="1" customWidth="1"/>
    <col min="1313" max="1313" width="7.42578125" style="22" customWidth="1"/>
    <col min="1314" max="1314" width="5.42578125" style="22" customWidth="1"/>
    <col min="1315" max="1316" width="5.5703125" style="22" customWidth="1"/>
    <col min="1317" max="1317" width="5.85546875" style="22" customWidth="1"/>
    <col min="1318" max="1318" width="7.85546875" style="22" customWidth="1"/>
    <col min="1319" max="1542" width="9.140625" style="22"/>
    <col min="1543" max="1543" width="3.85546875" style="22" customWidth="1"/>
    <col min="1544" max="1544" width="11" style="22" bestFit="1" customWidth="1"/>
    <col min="1545" max="1546" width="4.42578125" style="22" bestFit="1" customWidth="1"/>
    <col min="1547" max="1547" width="5.5703125" style="22" bestFit="1" customWidth="1"/>
    <col min="1548" max="1548" width="6.85546875" style="22" bestFit="1" customWidth="1"/>
    <col min="1549" max="1549" width="6.42578125" style="22" bestFit="1" customWidth="1"/>
    <col min="1550" max="1550" width="7" style="22" bestFit="1" customWidth="1"/>
    <col min="1551" max="1551" width="7.42578125" style="22" bestFit="1" customWidth="1"/>
    <col min="1552" max="1552" width="6.5703125" style="22" bestFit="1" customWidth="1"/>
    <col min="1553" max="1554" width="7.5703125" style="22" bestFit="1" customWidth="1"/>
    <col min="1555" max="1555" width="6.140625" style="22" bestFit="1" customWidth="1"/>
    <col min="1556" max="1556" width="5.5703125" style="22" bestFit="1" customWidth="1"/>
    <col min="1557" max="1557" width="6.5703125" style="22" bestFit="1" customWidth="1"/>
    <col min="1558" max="1558" width="7.140625" style="22" bestFit="1" customWidth="1"/>
    <col min="1559" max="1559" width="8.42578125" style="22" bestFit="1" customWidth="1"/>
    <col min="1560" max="1560" width="8" style="22" bestFit="1" customWidth="1"/>
    <col min="1561" max="1561" width="9.5703125" style="22" bestFit="1" customWidth="1"/>
    <col min="1562" max="1562" width="6.5703125" style="22" customWidth="1"/>
    <col min="1563" max="1563" width="4.85546875" style="22" customWidth="1"/>
    <col min="1564" max="1564" width="8" style="22" bestFit="1" customWidth="1"/>
    <col min="1565" max="1565" width="6.42578125" style="22" bestFit="1" customWidth="1"/>
    <col min="1566" max="1567" width="6.5703125" style="22" bestFit="1" customWidth="1"/>
    <col min="1568" max="1568" width="8.5703125" style="22" bestFit="1" customWidth="1"/>
    <col min="1569" max="1569" width="7.42578125" style="22" customWidth="1"/>
    <col min="1570" max="1570" width="5.42578125" style="22" customWidth="1"/>
    <col min="1571" max="1572" width="5.5703125" style="22" customWidth="1"/>
    <col min="1573" max="1573" width="5.85546875" style="22" customWidth="1"/>
    <col min="1574" max="1574" width="7.85546875" style="22" customWidth="1"/>
    <col min="1575" max="1798" width="9.140625" style="22"/>
    <col min="1799" max="1799" width="3.85546875" style="22" customWidth="1"/>
    <col min="1800" max="1800" width="11" style="22" bestFit="1" customWidth="1"/>
    <col min="1801" max="1802" width="4.42578125" style="22" bestFit="1" customWidth="1"/>
    <col min="1803" max="1803" width="5.5703125" style="22" bestFit="1" customWidth="1"/>
    <col min="1804" max="1804" width="6.85546875" style="22" bestFit="1" customWidth="1"/>
    <col min="1805" max="1805" width="6.42578125" style="22" bestFit="1" customWidth="1"/>
    <col min="1806" max="1806" width="7" style="22" bestFit="1" customWidth="1"/>
    <col min="1807" max="1807" width="7.42578125" style="22" bestFit="1" customWidth="1"/>
    <col min="1808" max="1808" width="6.5703125" style="22" bestFit="1" customWidth="1"/>
    <col min="1809" max="1810" width="7.5703125" style="22" bestFit="1" customWidth="1"/>
    <col min="1811" max="1811" width="6.140625" style="22" bestFit="1" customWidth="1"/>
    <col min="1812" max="1812" width="5.5703125" style="22" bestFit="1" customWidth="1"/>
    <col min="1813" max="1813" width="6.5703125" style="22" bestFit="1" customWidth="1"/>
    <col min="1814" max="1814" width="7.140625" style="22" bestFit="1" customWidth="1"/>
    <col min="1815" max="1815" width="8.42578125" style="22" bestFit="1" customWidth="1"/>
    <col min="1816" max="1816" width="8" style="22" bestFit="1" customWidth="1"/>
    <col min="1817" max="1817" width="9.5703125" style="22" bestFit="1" customWidth="1"/>
    <col min="1818" max="1818" width="6.5703125" style="22" customWidth="1"/>
    <col min="1819" max="1819" width="4.85546875" style="22" customWidth="1"/>
    <col min="1820" max="1820" width="8" style="22" bestFit="1" customWidth="1"/>
    <col min="1821" max="1821" width="6.42578125" style="22" bestFit="1" customWidth="1"/>
    <col min="1822" max="1823" width="6.5703125" style="22" bestFit="1" customWidth="1"/>
    <col min="1824" max="1824" width="8.5703125" style="22" bestFit="1" customWidth="1"/>
    <col min="1825" max="1825" width="7.42578125" style="22" customWidth="1"/>
    <col min="1826" max="1826" width="5.42578125" style="22" customWidth="1"/>
    <col min="1827" max="1828" width="5.5703125" style="22" customWidth="1"/>
    <col min="1829" max="1829" width="5.85546875" style="22" customWidth="1"/>
    <col min="1830" max="1830" width="7.85546875" style="22" customWidth="1"/>
    <col min="1831" max="2054" width="9.140625" style="22"/>
    <col min="2055" max="2055" width="3.85546875" style="22" customWidth="1"/>
    <col min="2056" max="2056" width="11" style="22" bestFit="1" customWidth="1"/>
    <col min="2057" max="2058" width="4.42578125" style="22" bestFit="1" customWidth="1"/>
    <col min="2059" max="2059" width="5.5703125" style="22" bestFit="1" customWidth="1"/>
    <col min="2060" max="2060" width="6.85546875" style="22" bestFit="1" customWidth="1"/>
    <col min="2061" max="2061" width="6.42578125" style="22" bestFit="1" customWidth="1"/>
    <col min="2062" max="2062" width="7" style="22" bestFit="1" customWidth="1"/>
    <col min="2063" max="2063" width="7.42578125" style="22" bestFit="1" customWidth="1"/>
    <col min="2064" max="2064" width="6.5703125" style="22" bestFit="1" customWidth="1"/>
    <col min="2065" max="2066" width="7.5703125" style="22" bestFit="1" customWidth="1"/>
    <col min="2067" max="2067" width="6.140625" style="22" bestFit="1" customWidth="1"/>
    <col min="2068" max="2068" width="5.5703125" style="22" bestFit="1" customWidth="1"/>
    <col min="2069" max="2069" width="6.5703125" style="22" bestFit="1" customWidth="1"/>
    <col min="2070" max="2070" width="7.140625" style="22" bestFit="1" customWidth="1"/>
    <col min="2071" max="2071" width="8.42578125" style="22" bestFit="1" customWidth="1"/>
    <col min="2072" max="2072" width="8" style="22" bestFit="1" customWidth="1"/>
    <col min="2073" max="2073" width="9.5703125" style="22" bestFit="1" customWidth="1"/>
    <col min="2074" max="2074" width="6.5703125" style="22" customWidth="1"/>
    <col min="2075" max="2075" width="4.85546875" style="22" customWidth="1"/>
    <col min="2076" max="2076" width="8" style="22" bestFit="1" customWidth="1"/>
    <col min="2077" max="2077" width="6.42578125" style="22" bestFit="1" customWidth="1"/>
    <col min="2078" max="2079" width="6.5703125" style="22" bestFit="1" customWidth="1"/>
    <col min="2080" max="2080" width="8.5703125" style="22" bestFit="1" customWidth="1"/>
    <col min="2081" max="2081" width="7.42578125" style="22" customWidth="1"/>
    <col min="2082" max="2082" width="5.42578125" style="22" customWidth="1"/>
    <col min="2083" max="2084" width="5.5703125" style="22" customWidth="1"/>
    <col min="2085" max="2085" width="5.85546875" style="22" customWidth="1"/>
    <col min="2086" max="2086" width="7.85546875" style="22" customWidth="1"/>
    <col min="2087" max="2310" width="9.140625" style="22"/>
    <col min="2311" max="2311" width="3.85546875" style="22" customWidth="1"/>
    <col min="2312" max="2312" width="11" style="22" bestFit="1" customWidth="1"/>
    <col min="2313" max="2314" width="4.42578125" style="22" bestFit="1" customWidth="1"/>
    <col min="2315" max="2315" width="5.5703125" style="22" bestFit="1" customWidth="1"/>
    <col min="2316" max="2316" width="6.85546875" style="22" bestFit="1" customWidth="1"/>
    <col min="2317" max="2317" width="6.42578125" style="22" bestFit="1" customWidth="1"/>
    <col min="2318" max="2318" width="7" style="22" bestFit="1" customWidth="1"/>
    <col min="2319" max="2319" width="7.42578125" style="22" bestFit="1" customWidth="1"/>
    <col min="2320" max="2320" width="6.5703125" style="22" bestFit="1" customWidth="1"/>
    <col min="2321" max="2322" width="7.5703125" style="22" bestFit="1" customWidth="1"/>
    <col min="2323" max="2323" width="6.140625" style="22" bestFit="1" customWidth="1"/>
    <col min="2324" max="2324" width="5.5703125" style="22" bestFit="1" customWidth="1"/>
    <col min="2325" max="2325" width="6.5703125" style="22" bestFit="1" customWidth="1"/>
    <col min="2326" max="2326" width="7.140625" style="22" bestFit="1" customWidth="1"/>
    <col min="2327" max="2327" width="8.42578125" style="22" bestFit="1" customWidth="1"/>
    <col min="2328" max="2328" width="8" style="22" bestFit="1" customWidth="1"/>
    <col min="2329" max="2329" width="9.5703125" style="22" bestFit="1" customWidth="1"/>
    <col min="2330" max="2330" width="6.5703125" style="22" customWidth="1"/>
    <col min="2331" max="2331" width="4.85546875" style="22" customWidth="1"/>
    <col min="2332" max="2332" width="8" style="22" bestFit="1" customWidth="1"/>
    <col min="2333" max="2333" width="6.42578125" style="22" bestFit="1" customWidth="1"/>
    <col min="2334" max="2335" width="6.5703125" style="22" bestFit="1" customWidth="1"/>
    <col min="2336" max="2336" width="8.5703125" style="22" bestFit="1" customWidth="1"/>
    <col min="2337" max="2337" width="7.42578125" style="22" customWidth="1"/>
    <col min="2338" max="2338" width="5.42578125" style="22" customWidth="1"/>
    <col min="2339" max="2340" width="5.5703125" style="22" customWidth="1"/>
    <col min="2341" max="2341" width="5.85546875" style="22" customWidth="1"/>
    <col min="2342" max="2342" width="7.85546875" style="22" customWidth="1"/>
    <col min="2343" max="2566" width="9.140625" style="22"/>
    <col min="2567" max="2567" width="3.85546875" style="22" customWidth="1"/>
    <col min="2568" max="2568" width="11" style="22" bestFit="1" customWidth="1"/>
    <col min="2569" max="2570" width="4.42578125" style="22" bestFit="1" customWidth="1"/>
    <col min="2571" max="2571" width="5.5703125" style="22" bestFit="1" customWidth="1"/>
    <col min="2572" max="2572" width="6.85546875" style="22" bestFit="1" customWidth="1"/>
    <col min="2573" max="2573" width="6.42578125" style="22" bestFit="1" customWidth="1"/>
    <col min="2574" max="2574" width="7" style="22" bestFit="1" customWidth="1"/>
    <col min="2575" max="2575" width="7.42578125" style="22" bestFit="1" customWidth="1"/>
    <col min="2576" max="2576" width="6.5703125" style="22" bestFit="1" customWidth="1"/>
    <col min="2577" max="2578" width="7.5703125" style="22" bestFit="1" customWidth="1"/>
    <col min="2579" max="2579" width="6.140625" style="22" bestFit="1" customWidth="1"/>
    <col min="2580" max="2580" width="5.5703125" style="22" bestFit="1" customWidth="1"/>
    <col min="2581" max="2581" width="6.5703125" style="22" bestFit="1" customWidth="1"/>
    <col min="2582" max="2582" width="7.140625" style="22" bestFit="1" customWidth="1"/>
    <col min="2583" max="2583" width="8.42578125" style="22" bestFit="1" customWidth="1"/>
    <col min="2584" max="2584" width="8" style="22" bestFit="1" customWidth="1"/>
    <col min="2585" max="2585" width="9.5703125" style="22" bestFit="1" customWidth="1"/>
    <col min="2586" max="2586" width="6.5703125" style="22" customWidth="1"/>
    <col min="2587" max="2587" width="4.85546875" style="22" customWidth="1"/>
    <col min="2588" max="2588" width="8" style="22" bestFit="1" customWidth="1"/>
    <col min="2589" max="2589" width="6.42578125" style="22" bestFit="1" customWidth="1"/>
    <col min="2590" max="2591" width="6.5703125" style="22" bestFit="1" customWidth="1"/>
    <col min="2592" max="2592" width="8.5703125" style="22" bestFit="1" customWidth="1"/>
    <col min="2593" max="2593" width="7.42578125" style="22" customWidth="1"/>
    <col min="2594" max="2594" width="5.42578125" style="22" customWidth="1"/>
    <col min="2595" max="2596" width="5.5703125" style="22" customWidth="1"/>
    <col min="2597" max="2597" width="5.85546875" style="22" customWidth="1"/>
    <col min="2598" max="2598" width="7.85546875" style="22" customWidth="1"/>
    <col min="2599" max="2822" width="9.140625" style="22"/>
    <col min="2823" max="2823" width="3.85546875" style="22" customWidth="1"/>
    <col min="2824" max="2824" width="11" style="22" bestFit="1" customWidth="1"/>
    <col min="2825" max="2826" width="4.42578125" style="22" bestFit="1" customWidth="1"/>
    <col min="2827" max="2827" width="5.5703125" style="22" bestFit="1" customWidth="1"/>
    <col min="2828" max="2828" width="6.85546875" style="22" bestFit="1" customWidth="1"/>
    <col min="2829" max="2829" width="6.42578125" style="22" bestFit="1" customWidth="1"/>
    <col min="2830" max="2830" width="7" style="22" bestFit="1" customWidth="1"/>
    <col min="2831" max="2831" width="7.42578125" style="22" bestFit="1" customWidth="1"/>
    <col min="2832" max="2832" width="6.5703125" style="22" bestFit="1" customWidth="1"/>
    <col min="2833" max="2834" width="7.5703125" style="22" bestFit="1" customWidth="1"/>
    <col min="2835" max="2835" width="6.140625" style="22" bestFit="1" customWidth="1"/>
    <col min="2836" max="2836" width="5.5703125" style="22" bestFit="1" customWidth="1"/>
    <col min="2837" max="2837" width="6.5703125" style="22" bestFit="1" customWidth="1"/>
    <col min="2838" max="2838" width="7.140625" style="22" bestFit="1" customWidth="1"/>
    <col min="2839" max="2839" width="8.42578125" style="22" bestFit="1" customWidth="1"/>
    <col min="2840" max="2840" width="8" style="22" bestFit="1" customWidth="1"/>
    <col min="2841" max="2841" width="9.5703125" style="22" bestFit="1" customWidth="1"/>
    <col min="2842" max="2842" width="6.5703125" style="22" customWidth="1"/>
    <col min="2843" max="2843" width="4.85546875" style="22" customWidth="1"/>
    <col min="2844" max="2844" width="8" style="22" bestFit="1" customWidth="1"/>
    <col min="2845" max="2845" width="6.42578125" style="22" bestFit="1" customWidth="1"/>
    <col min="2846" max="2847" width="6.5703125" style="22" bestFit="1" customWidth="1"/>
    <col min="2848" max="2848" width="8.5703125" style="22" bestFit="1" customWidth="1"/>
    <col min="2849" max="2849" width="7.42578125" style="22" customWidth="1"/>
    <col min="2850" max="2850" width="5.42578125" style="22" customWidth="1"/>
    <col min="2851" max="2852" width="5.5703125" style="22" customWidth="1"/>
    <col min="2853" max="2853" width="5.85546875" style="22" customWidth="1"/>
    <col min="2854" max="2854" width="7.85546875" style="22" customWidth="1"/>
    <col min="2855" max="3078" width="9.140625" style="22"/>
    <col min="3079" max="3079" width="3.85546875" style="22" customWidth="1"/>
    <col min="3080" max="3080" width="11" style="22" bestFit="1" customWidth="1"/>
    <col min="3081" max="3082" width="4.42578125" style="22" bestFit="1" customWidth="1"/>
    <col min="3083" max="3083" width="5.5703125" style="22" bestFit="1" customWidth="1"/>
    <col min="3084" max="3084" width="6.85546875" style="22" bestFit="1" customWidth="1"/>
    <col min="3085" max="3085" width="6.42578125" style="22" bestFit="1" customWidth="1"/>
    <col min="3086" max="3086" width="7" style="22" bestFit="1" customWidth="1"/>
    <col min="3087" max="3087" width="7.42578125" style="22" bestFit="1" customWidth="1"/>
    <col min="3088" max="3088" width="6.5703125" style="22" bestFit="1" customWidth="1"/>
    <col min="3089" max="3090" width="7.5703125" style="22" bestFit="1" customWidth="1"/>
    <col min="3091" max="3091" width="6.140625" style="22" bestFit="1" customWidth="1"/>
    <col min="3092" max="3092" width="5.5703125" style="22" bestFit="1" customWidth="1"/>
    <col min="3093" max="3093" width="6.5703125" style="22" bestFit="1" customWidth="1"/>
    <col min="3094" max="3094" width="7.140625" style="22" bestFit="1" customWidth="1"/>
    <col min="3095" max="3095" width="8.42578125" style="22" bestFit="1" customWidth="1"/>
    <col min="3096" max="3096" width="8" style="22" bestFit="1" customWidth="1"/>
    <col min="3097" max="3097" width="9.5703125" style="22" bestFit="1" customWidth="1"/>
    <col min="3098" max="3098" width="6.5703125" style="22" customWidth="1"/>
    <col min="3099" max="3099" width="4.85546875" style="22" customWidth="1"/>
    <col min="3100" max="3100" width="8" style="22" bestFit="1" customWidth="1"/>
    <col min="3101" max="3101" width="6.42578125" style="22" bestFit="1" customWidth="1"/>
    <col min="3102" max="3103" width="6.5703125" style="22" bestFit="1" customWidth="1"/>
    <col min="3104" max="3104" width="8.5703125" style="22" bestFit="1" customWidth="1"/>
    <col min="3105" max="3105" width="7.42578125" style="22" customWidth="1"/>
    <col min="3106" max="3106" width="5.42578125" style="22" customWidth="1"/>
    <col min="3107" max="3108" width="5.5703125" style="22" customWidth="1"/>
    <col min="3109" max="3109" width="5.85546875" style="22" customWidth="1"/>
    <col min="3110" max="3110" width="7.85546875" style="22" customWidth="1"/>
    <col min="3111" max="3334" width="9.140625" style="22"/>
    <col min="3335" max="3335" width="3.85546875" style="22" customWidth="1"/>
    <col min="3336" max="3336" width="11" style="22" bestFit="1" customWidth="1"/>
    <col min="3337" max="3338" width="4.42578125" style="22" bestFit="1" customWidth="1"/>
    <col min="3339" max="3339" width="5.5703125" style="22" bestFit="1" customWidth="1"/>
    <col min="3340" max="3340" width="6.85546875" style="22" bestFit="1" customWidth="1"/>
    <col min="3341" max="3341" width="6.42578125" style="22" bestFit="1" customWidth="1"/>
    <col min="3342" max="3342" width="7" style="22" bestFit="1" customWidth="1"/>
    <col min="3343" max="3343" width="7.42578125" style="22" bestFit="1" customWidth="1"/>
    <col min="3344" max="3344" width="6.5703125" style="22" bestFit="1" customWidth="1"/>
    <col min="3345" max="3346" width="7.5703125" style="22" bestFit="1" customWidth="1"/>
    <col min="3347" max="3347" width="6.140625" style="22" bestFit="1" customWidth="1"/>
    <col min="3348" max="3348" width="5.5703125" style="22" bestFit="1" customWidth="1"/>
    <col min="3349" max="3349" width="6.5703125" style="22" bestFit="1" customWidth="1"/>
    <col min="3350" max="3350" width="7.140625" style="22" bestFit="1" customWidth="1"/>
    <col min="3351" max="3351" width="8.42578125" style="22" bestFit="1" customWidth="1"/>
    <col min="3352" max="3352" width="8" style="22" bestFit="1" customWidth="1"/>
    <col min="3353" max="3353" width="9.5703125" style="22" bestFit="1" customWidth="1"/>
    <col min="3354" max="3354" width="6.5703125" style="22" customWidth="1"/>
    <col min="3355" max="3355" width="4.85546875" style="22" customWidth="1"/>
    <col min="3356" max="3356" width="8" style="22" bestFit="1" customWidth="1"/>
    <col min="3357" max="3357" width="6.42578125" style="22" bestFit="1" customWidth="1"/>
    <col min="3358" max="3359" width="6.5703125" style="22" bestFit="1" customWidth="1"/>
    <col min="3360" max="3360" width="8.5703125" style="22" bestFit="1" customWidth="1"/>
    <col min="3361" max="3361" width="7.42578125" style="22" customWidth="1"/>
    <col min="3362" max="3362" width="5.42578125" style="22" customWidth="1"/>
    <col min="3363" max="3364" width="5.5703125" style="22" customWidth="1"/>
    <col min="3365" max="3365" width="5.85546875" style="22" customWidth="1"/>
    <col min="3366" max="3366" width="7.85546875" style="22" customWidth="1"/>
    <col min="3367" max="3590" width="9.140625" style="22"/>
    <col min="3591" max="3591" width="3.85546875" style="22" customWidth="1"/>
    <col min="3592" max="3592" width="11" style="22" bestFit="1" customWidth="1"/>
    <col min="3593" max="3594" width="4.42578125" style="22" bestFit="1" customWidth="1"/>
    <col min="3595" max="3595" width="5.5703125" style="22" bestFit="1" customWidth="1"/>
    <col min="3596" max="3596" width="6.85546875" style="22" bestFit="1" customWidth="1"/>
    <col min="3597" max="3597" width="6.42578125" style="22" bestFit="1" customWidth="1"/>
    <col min="3598" max="3598" width="7" style="22" bestFit="1" customWidth="1"/>
    <col min="3599" max="3599" width="7.42578125" style="22" bestFit="1" customWidth="1"/>
    <col min="3600" max="3600" width="6.5703125" style="22" bestFit="1" customWidth="1"/>
    <col min="3601" max="3602" width="7.5703125" style="22" bestFit="1" customWidth="1"/>
    <col min="3603" max="3603" width="6.140625" style="22" bestFit="1" customWidth="1"/>
    <col min="3604" max="3604" width="5.5703125" style="22" bestFit="1" customWidth="1"/>
    <col min="3605" max="3605" width="6.5703125" style="22" bestFit="1" customWidth="1"/>
    <col min="3606" max="3606" width="7.140625" style="22" bestFit="1" customWidth="1"/>
    <col min="3607" max="3607" width="8.42578125" style="22" bestFit="1" customWidth="1"/>
    <col min="3608" max="3608" width="8" style="22" bestFit="1" customWidth="1"/>
    <col min="3609" max="3609" width="9.5703125" style="22" bestFit="1" customWidth="1"/>
    <col min="3610" max="3610" width="6.5703125" style="22" customWidth="1"/>
    <col min="3611" max="3611" width="4.85546875" style="22" customWidth="1"/>
    <col min="3612" max="3612" width="8" style="22" bestFit="1" customWidth="1"/>
    <col min="3613" max="3613" width="6.42578125" style="22" bestFit="1" customWidth="1"/>
    <col min="3614" max="3615" width="6.5703125" style="22" bestFit="1" customWidth="1"/>
    <col min="3616" max="3616" width="8.5703125" style="22" bestFit="1" customWidth="1"/>
    <col min="3617" max="3617" width="7.42578125" style="22" customWidth="1"/>
    <col min="3618" max="3618" width="5.42578125" style="22" customWidth="1"/>
    <col min="3619" max="3620" width="5.5703125" style="22" customWidth="1"/>
    <col min="3621" max="3621" width="5.85546875" style="22" customWidth="1"/>
    <col min="3622" max="3622" width="7.85546875" style="22" customWidth="1"/>
    <col min="3623" max="3846" width="9.140625" style="22"/>
    <col min="3847" max="3847" width="3.85546875" style="22" customWidth="1"/>
    <col min="3848" max="3848" width="11" style="22" bestFit="1" customWidth="1"/>
    <col min="3849" max="3850" width="4.42578125" style="22" bestFit="1" customWidth="1"/>
    <col min="3851" max="3851" width="5.5703125" style="22" bestFit="1" customWidth="1"/>
    <col min="3852" max="3852" width="6.85546875" style="22" bestFit="1" customWidth="1"/>
    <col min="3853" max="3853" width="6.42578125" style="22" bestFit="1" customWidth="1"/>
    <col min="3854" max="3854" width="7" style="22" bestFit="1" customWidth="1"/>
    <col min="3855" max="3855" width="7.42578125" style="22" bestFit="1" customWidth="1"/>
    <col min="3856" max="3856" width="6.5703125" style="22" bestFit="1" customWidth="1"/>
    <col min="3857" max="3858" width="7.5703125" style="22" bestFit="1" customWidth="1"/>
    <col min="3859" max="3859" width="6.140625" style="22" bestFit="1" customWidth="1"/>
    <col min="3860" max="3860" width="5.5703125" style="22" bestFit="1" customWidth="1"/>
    <col min="3861" max="3861" width="6.5703125" style="22" bestFit="1" customWidth="1"/>
    <col min="3862" max="3862" width="7.140625" style="22" bestFit="1" customWidth="1"/>
    <col min="3863" max="3863" width="8.42578125" style="22" bestFit="1" customWidth="1"/>
    <col min="3864" max="3864" width="8" style="22" bestFit="1" customWidth="1"/>
    <col min="3865" max="3865" width="9.5703125" style="22" bestFit="1" customWidth="1"/>
    <col min="3866" max="3866" width="6.5703125" style="22" customWidth="1"/>
    <col min="3867" max="3867" width="4.85546875" style="22" customWidth="1"/>
    <col min="3868" max="3868" width="8" style="22" bestFit="1" customWidth="1"/>
    <col min="3869" max="3869" width="6.42578125" style="22" bestFit="1" customWidth="1"/>
    <col min="3870" max="3871" width="6.5703125" style="22" bestFit="1" customWidth="1"/>
    <col min="3872" max="3872" width="8.5703125" style="22" bestFit="1" customWidth="1"/>
    <col min="3873" max="3873" width="7.42578125" style="22" customWidth="1"/>
    <col min="3874" max="3874" width="5.42578125" style="22" customWidth="1"/>
    <col min="3875" max="3876" width="5.5703125" style="22" customWidth="1"/>
    <col min="3877" max="3877" width="5.85546875" style="22" customWidth="1"/>
    <col min="3878" max="3878" width="7.85546875" style="22" customWidth="1"/>
    <col min="3879" max="4102" width="9.140625" style="22"/>
    <col min="4103" max="4103" width="3.85546875" style="22" customWidth="1"/>
    <col min="4104" max="4104" width="11" style="22" bestFit="1" customWidth="1"/>
    <col min="4105" max="4106" width="4.42578125" style="22" bestFit="1" customWidth="1"/>
    <col min="4107" max="4107" width="5.5703125" style="22" bestFit="1" customWidth="1"/>
    <col min="4108" max="4108" width="6.85546875" style="22" bestFit="1" customWidth="1"/>
    <col min="4109" max="4109" width="6.42578125" style="22" bestFit="1" customWidth="1"/>
    <col min="4110" max="4110" width="7" style="22" bestFit="1" customWidth="1"/>
    <col min="4111" max="4111" width="7.42578125" style="22" bestFit="1" customWidth="1"/>
    <col min="4112" max="4112" width="6.5703125" style="22" bestFit="1" customWidth="1"/>
    <col min="4113" max="4114" width="7.5703125" style="22" bestFit="1" customWidth="1"/>
    <col min="4115" max="4115" width="6.140625" style="22" bestFit="1" customWidth="1"/>
    <col min="4116" max="4116" width="5.5703125" style="22" bestFit="1" customWidth="1"/>
    <col min="4117" max="4117" width="6.5703125" style="22" bestFit="1" customWidth="1"/>
    <col min="4118" max="4118" width="7.140625" style="22" bestFit="1" customWidth="1"/>
    <col min="4119" max="4119" width="8.42578125" style="22" bestFit="1" customWidth="1"/>
    <col min="4120" max="4120" width="8" style="22" bestFit="1" customWidth="1"/>
    <col min="4121" max="4121" width="9.5703125" style="22" bestFit="1" customWidth="1"/>
    <col min="4122" max="4122" width="6.5703125" style="22" customWidth="1"/>
    <col min="4123" max="4123" width="4.85546875" style="22" customWidth="1"/>
    <col min="4124" max="4124" width="8" style="22" bestFit="1" customWidth="1"/>
    <col min="4125" max="4125" width="6.42578125" style="22" bestFit="1" customWidth="1"/>
    <col min="4126" max="4127" width="6.5703125" style="22" bestFit="1" customWidth="1"/>
    <col min="4128" max="4128" width="8.5703125" style="22" bestFit="1" customWidth="1"/>
    <col min="4129" max="4129" width="7.42578125" style="22" customWidth="1"/>
    <col min="4130" max="4130" width="5.42578125" style="22" customWidth="1"/>
    <col min="4131" max="4132" width="5.5703125" style="22" customWidth="1"/>
    <col min="4133" max="4133" width="5.85546875" style="22" customWidth="1"/>
    <col min="4134" max="4134" width="7.85546875" style="22" customWidth="1"/>
    <col min="4135" max="4358" width="9.140625" style="22"/>
    <col min="4359" max="4359" width="3.85546875" style="22" customWidth="1"/>
    <col min="4360" max="4360" width="11" style="22" bestFit="1" customWidth="1"/>
    <col min="4361" max="4362" width="4.42578125" style="22" bestFit="1" customWidth="1"/>
    <col min="4363" max="4363" width="5.5703125" style="22" bestFit="1" customWidth="1"/>
    <col min="4364" max="4364" width="6.85546875" style="22" bestFit="1" customWidth="1"/>
    <col min="4365" max="4365" width="6.42578125" style="22" bestFit="1" customWidth="1"/>
    <col min="4366" max="4366" width="7" style="22" bestFit="1" customWidth="1"/>
    <col min="4367" max="4367" width="7.42578125" style="22" bestFit="1" customWidth="1"/>
    <col min="4368" max="4368" width="6.5703125" style="22" bestFit="1" customWidth="1"/>
    <col min="4369" max="4370" width="7.5703125" style="22" bestFit="1" customWidth="1"/>
    <col min="4371" max="4371" width="6.140625" style="22" bestFit="1" customWidth="1"/>
    <col min="4372" max="4372" width="5.5703125" style="22" bestFit="1" customWidth="1"/>
    <col min="4373" max="4373" width="6.5703125" style="22" bestFit="1" customWidth="1"/>
    <col min="4374" max="4374" width="7.140625" style="22" bestFit="1" customWidth="1"/>
    <col min="4375" max="4375" width="8.42578125" style="22" bestFit="1" customWidth="1"/>
    <col min="4376" max="4376" width="8" style="22" bestFit="1" customWidth="1"/>
    <col min="4377" max="4377" width="9.5703125" style="22" bestFit="1" customWidth="1"/>
    <col min="4378" max="4378" width="6.5703125" style="22" customWidth="1"/>
    <col min="4379" max="4379" width="4.85546875" style="22" customWidth="1"/>
    <col min="4380" max="4380" width="8" style="22" bestFit="1" customWidth="1"/>
    <col min="4381" max="4381" width="6.42578125" style="22" bestFit="1" customWidth="1"/>
    <col min="4382" max="4383" width="6.5703125" style="22" bestFit="1" customWidth="1"/>
    <col min="4384" max="4384" width="8.5703125" style="22" bestFit="1" customWidth="1"/>
    <col min="4385" max="4385" width="7.42578125" style="22" customWidth="1"/>
    <col min="4386" max="4386" width="5.42578125" style="22" customWidth="1"/>
    <col min="4387" max="4388" width="5.5703125" style="22" customWidth="1"/>
    <col min="4389" max="4389" width="5.85546875" style="22" customWidth="1"/>
    <col min="4390" max="4390" width="7.85546875" style="22" customWidth="1"/>
    <col min="4391" max="4614" width="9.140625" style="22"/>
    <col min="4615" max="4615" width="3.85546875" style="22" customWidth="1"/>
    <col min="4616" max="4616" width="11" style="22" bestFit="1" customWidth="1"/>
    <col min="4617" max="4618" width="4.42578125" style="22" bestFit="1" customWidth="1"/>
    <col min="4619" max="4619" width="5.5703125" style="22" bestFit="1" customWidth="1"/>
    <col min="4620" max="4620" width="6.85546875" style="22" bestFit="1" customWidth="1"/>
    <col min="4621" max="4621" width="6.42578125" style="22" bestFit="1" customWidth="1"/>
    <col min="4622" max="4622" width="7" style="22" bestFit="1" customWidth="1"/>
    <col min="4623" max="4623" width="7.42578125" style="22" bestFit="1" customWidth="1"/>
    <col min="4624" max="4624" width="6.5703125" style="22" bestFit="1" customWidth="1"/>
    <col min="4625" max="4626" width="7.5703125" style="22" bestFit="1" customWidth="1"/>
    <col min="4627" max="4627" width="6.140625" style="22" bestFit="1" customWidth="1"/>
    <col min="4628" max="4628" width="5.5703125" style="22" bestFit="1" customWidth="1"/>
    <col min="4629" max="4629" width="6.5703125" style="22" bestFit="1" customWidth="1"/>
    <col min="4630" max="4630" width="7.140625" style="22" bestFit="1" customWidth="1"/>
    <col min="4631" max="4631" width="8.42578125" style="22" bestFit="1" customWidth="1"/>
    <col min="4632" max="4632" width="8" style="22" bestFit="1" customWidth="1"/>
    <col min="4633" max="4633" width="9.5703125" style="22" bestFit="1" customWidth="1"/>
    <col min="4634" max="4634" width="6.5703125" style="22" customWidth="1"/>
    <col min="4635" max="4635" width="4.85546875" style="22" customWidth="1"/>
    <col min="4636" max="4636" width="8" style="22" bestFit="1" customWidth="1"/>
    <col min="4637" max="4637" width="6.42578125" style="22" bestFit="1" customWidth="1"/>
    <col min="4638" max="4639" width="6.5703125" style="22" bestFit="1" customWidth="1"/>
    <col min="4640" max="4640" width="8.5703125" style="22" bestFit="1" customWidth="1"/>
    <col min="4641" max="4641" width="7.42578125" style="22" customWidth="1"/>
    <col min="4642" max="4642" width="5.42578125" style="22" customWidth="1"/>
    <col min="4643" max="4644" width="5.5703125" style="22" customWidth="1"/>
    <col min="4645" max="4645" width="5.85546875" style="22" customWidth="1"/>
    <col min="4646" max="4646" width="7.85546875" style="22" customWidth="1"/>
    <col min="4647" max="4870" width="9.140625" style="22"/>
    <col min="4871" max="4871" width="3.85546875" style="22" customWidth="1"/>
    <col min="4872" max="4872" width="11" style="22" bestFit="1" customWidth="1"/>
    <col min="4873" max="4874" width="4.42578125" style="22" bestFit="1" customWidth="1"/>
    <col min="4875" max="4875" width="5.5703125" style="22" bestFit="1" customWidth="1"/>
    <col min="4876" max="4876" width="6.85546875" style="22" bestFit="1" customWidth="1"/>
    <col min="4877" max="4877" width="6.42578125" style="22" bestFit="1" customWidth="1"/>
    <col min="4878" max="4878" width="7" style="22" bestFit="1" customWidth="1"/>
    <col min="4879" max="4879" width="7.42578125" style="22" bestFit="1" customWidth="1"/>
    <col min="4880" max="4880" width="6.5703125" style="22" bestFit="1" customWidth="1"/>
    <col min="4881" max="4882" width="7.5703125" style="22" bestFit="1" customWidth="1"/>
    <col min="4883" max="4883" width="6.140625" style="22" bestFit="1" customWidth="1"/>
    <col min="4884" max="4884" width="5.5703125" style="22" bestFit="1" customWidth="1"/>
    <col min="4885" max="4885" width="6.5703125" style="22" bestFit="1" customWidth="1"/>
    <col min="4886" max="4886" width="7.140625" style="22" bestFit="1" customWidth="1"/>
    <col min="4887" max="4887" width="8.42578125" style="22" bestFit="1" customWidth="1"/>
    <col min="4888" max="4888" width="8" style="22" bestFit="1" customWidth="1"/>
    <col min="4889" max="4889" width="9.5703125" style="22" bestFit="1" customWidth="1"/>
    <col min="4890" max="4890" width="6.5703125" style="22" customWidth="1"/>
    <col min="4891" max="4891" width="4.85546875" style="22" customWidth="1"/>
    <col min="4892" max="4892" width="8" style="22" bestFit="1" customWidth="1"/>
    <col min="4893" max="4893" width="6.42578125" style="22" bestFit="1" customWidth="1"/>
    <col min="4894" max="4895" width="6.5703125" style="22" bestFit="1" customWidth="1"/>
    <col min="4896" max="4896" width="8.5703125" style="22" bestFit="1" customWidth="1"/>
    <col min="4897" max="4897" width="7.42578125" style="22" customWidth="1"/>
    <col min="4898" max="4898" width="5.42578125" style="22" customWidth="1"/>
    <col min="4899" max="4900" width="5.5703125" style="22" customWidth="1"/>
    <col min="4901" max="4901" width="5.85546875" style="22" customWidth="1"/>
    <col min="4902" max="4902" width="7.85546875" style="22" customWidth="1"/>
    <col min="4903" max="5126" width="9.140625" style="22"/>
    <col min="5127" max="5127" width="3.85546875" style="22" customWidth="1"/>
    <col min="5128" max="5128" width="11" style="22" bestFit="1" customWidth="1"/>
    <col min="5129" max="5130" width="4.42578125" style="22" bestFit="1" customWidth="1"/>
    <col min="5131" max="5131" width="5.5703125" style="22" bestFit="1" customWidth="1"/>
    <col min="5132" max="5132" width="6.85546875" style="22" bestFit="1" customWidth="1"/>
    <col min="5133" max="5133" width="6.42578125" style="22" bestFit="1" customWidth="1"/>
    <col min="5134" max="5134" width="7" style="22" bestFit="1" customWidth="1"/>
    <col min="5135" max="5135" width="7.42578125" style="22" bestFit="1" customWidth="1"/>
    <col min="5136" max="5136" width="6.5703125" style="22" bestFit="1" customWidth="1"/>
    <col min="5137" max="5138" width="7.5703125" style="22" bestFit="1" customWidth="1"/>
    <col min="5139" max="5139" width="6.140625" style="22" bestFit="1" customWidth="1"/>
    <col min="5140" max="5140" width="5.5703125" style="22" bestFit="1" customWidth="1"/>
    <col min="5141" max="5141" width="6.5703125" style="22" bestFit="1" customWidth="1"/>
    <col min="5142" max="5142" width="7.140625" style="22" bestFit="1" customWidth="1"/>
    <col min="5143" max="5143" width="8.42578125" style="22" bestFit="1" customWidth="1"/>
    <col min="5144" max="5144" width="8" style="22" bestFit="1" customWidth="1"/>
    <col min="5145" max="5145" width="9.5703125" style="22" bestFit="1" customWidth="1"/>
    <col min="5146" max="5146" width="6.5703125" style="22" customWidth="1"/>
    <col min="5147" max="5147" width="4.85546875" style="22" customWidth="1"/>
    <col min="5148" max="5148" width="8" style="22" bestFit="1" customWidth="1"/>
    <col min="5149" max="5149" width="6.42578125" style="22" bestFit="1" customWidth="1"/>
    <col min="5150" max="5151" width="6.5703125" style="22" bestFit="1" customWidth="1"/>
    <col min="5152" max="5152" width="8.5703125" style="22" bestFit="1" customWidth="1"/>
    <col min="5153" max="5153" width="7.42578125" style="22" customWidth="1"/>
    <col min="5154" max="5154" width="5.42578125" style="22" customWidth="1"/>
    <col min="5155" max="5156" width="5.5703125" style="22" customWidth="1"/>
    <col min="5157" max="5157" width="5.85546875" style="22" customWidth="1"/>
    <col min="5158" max="5158" width="7.85546875" style="22" customWidth="1"/>
    <col min="5159" max="5382" width="9.140625" style="22"/>
    <col min="5383" max="5383" width="3.85546875" style="22" customWidth="1"/>
    <col min="5384" max="5384" width="11" style="22" bestFit="1" customWidth="1"/>
    <col min="5385" max="5386" width="4.42578125" style="22" bestFit="1" customWidth="1"/>
    <col min="5387" max="5387" width="5.5703125" style="22" bestFit="1" customWidth="1"/>
    <col min="5388" max="5388" width="6.85546875" style="22" bestFit="1" customWidth="1"/>
    <col min="5389" max="5389" width="6.42578125" style="22" bestFit="1" customWidth="1"/>
    <col min="5390" max="5390" width="7" style="22" bestFit="1" customWidth="1"/>
    <col min="5391" max="5391" width="7.42578125" style="22" bestFit="1" customWidth="1"/>
    <col min="5392" max="5392" width="6.5703125" style="22" bestFit="1" customWidth="1"/>
    <col min="5393" max="5394" width="7.5703125" style="22" bestFit="1" customWidth="1"/>
    <col min="5395" max="5395" width="6.140625" style="22" bestFit="1" customWidth="1"/>
    <col min="5396" max="5396" width="5.5703125" style="22" bestFit="1" customWidth="1"/>
    <col min="5397" max="5397" width="6.5703125" style="22" bestFit="1" customWidth="1"/>
    <col min="5398" max="5398" width="7.140625" style="22" bestFit="1" customWidth="1"/>
    <col min="5399" max="5399" width="8.42578125" style="22" bestFit="1" customWidth="1"/>
    <col min="5400" max="5400" width="8" style="22" bestFit="1" customWidth="1"/>
    <col min="5401" max="5401" width="9.5703125" style="22" bestFit="1" customWidth="1"/>
    <col min="5402" max="5402" width="6.5703125" style="22" customWidth="1"/>
    <col min="5403" max="5403" width="4.85546875" style="22" customWidth="1"/>
    <col min="5404" max="5404" width="8" style="22" bestFit="1" customWidth="1"/>
    <col min="5405" max="5405" width="6.42578125" style="22" bestFit="1" customWidth="1"/>
    <col min="5406" max="5407" width="6.5703125" style="22" bestFit="1" customWidth="1"/>
    <col min="5408" max="5408" width="8.5703125" style="22" bestFit="1" customWidth="1"/>
    <col min="5409" max="5409" width="7.42578125" style="22" customWidth="1"/>
    <col min="5410" max="5410" width="5.42578125" style="22" customWidth="1"/>
    <col min="5411" max="5412" width="5.5703125" style="22" customWidth="1"/>
    <col min="5413" max="5413" width="5.85546875" style="22" customWidth="1"/>
    <col min="5414" max="5414" width="7.85546875" style="22" customWidth="1"/>
    <col min="5415" max="5638" width="9.140625" style="22"/>
    <col min="5639" max="5639" width="3.85546875" style="22" customWidth="1"/>
    <col min="5640" max="5640" width="11" style="22" bestFit="1" customWidth="1"/>
    <col min="5641" max="5642" width="4.42578125" style="22" bestFit="1" customWidth="1"/>
    <col min="5643" max="5643" width="5.5703125" style="22" bestFit="1" customWidth="1"/>
    <col min="5644" max="5644" width="6.85546875" style="22" bestFit="1" customWidth="1"/>
    <col min="5645" max="5645" width="6.42578125" style="22" bestFit="1" customWidth="1"/>
    <col min="5646" max="5646" width="7" style="22" bestFit="1" customWidth="1"/>
    <col min="5647" max="5647" width="7.42578125" style="22" bestFit="1" customWidth="1"/>
    <col min="5648" max="5648" width="6.5703125" style="22" bestFit="1" customWidth="1"/>
    <col min="5649" max="5650" width="7.5703125" style="22" bestFit="1" customWidth="1"/>
    <col min="5651" max="5651" width="6.140625" style="22" bestFit="1" customWidth="1"/>
    <col min="5652" max="5652" width="5.5703125" style="22" bestFit="1" customWidth="1"/>
    <col min="5653" max="5653" width="6.5703125" style="22" bestFit="1" customWidth="1"/>
    <col min="5654" max="5654" width="7.140625" style="22" bestFit="1" customWidth="1"/>
    <col min="5655" max="5655" width="8.42578125" style="22" bestFit="1" customWidth="1"/>
    <col min="5656" max="5656" width="8" style="22" bestFit="1" customWidth="1"/>
    <col min="5657" max="5657" width="9.5703125" style="22" bestFit="1" customWidth="1"/>
    <col min="5658" max="5658" width="6.5703125" style="22" customWidth="1"/>
    <col min="5659" max="5659" width="4.85546875" style="22" customWidth="1"/>
    <col min="5660" max="5660" width="8" style="22" bestFit="1" customWidth="1"/>
    <col min="5661" max="5661" width="6.42578125" style="22" bestFit="1" customWidth="1"/>
    <col min="5662" max="5663" width="6.5703125" style="22" bestFit="1" customWidth="1"/>
    <col min="5664" max="5664" width="8.5703125" style="22" bestFit="1" customWidth="1"/>
    <col min="5665" max="5665" width="7.42578125" style="22" customWidth="1"/>
    <col min="5666" max="5666" width="5.42578125" style="22" customWidth="1"/>
    <col min="5667" max="5668" width="5.5703125" style="22" customWidth="1"/>
    <col min="5669" max="5669" width="5.85546875" style="22" customWidth="1"/>
    <col min="5670" max="5670" width="7.85546875" style="22" customWidth="1"/>
    <col min="5671" max="5894" width="9.140625" style="22"/>
    <col min="5895" max="5895" width="3.85546875" style="22" customWidth="1"/>
    <col min="5896" max="5896" width="11" style="22" bestFit="1" customWidth="1"/>
    <col min="5897" max="5898" width="4.42578125" style="22" bestFit="1" customWidth="1"/>
    <col min="5899" max="5899" width="5.5703125" style="22" bestFit="1" customWidth="1"/>
    <col min="5900" max="5900" width="6.85546875" style="22" bestFit="1" customWidth="1"/>
    <col min="5901" max="5901" width="6.42578125" style="22" bestFit="1" customWidth="1"/>
    <col min="5902" max="5902" width="7" style="22" bestFit="1" customWidth="1"/>
    <col min="5903" max="5903" width="7.42578125" style="22" bestFit="1" customWidth="1"/>
    <col min="5904" max="5904" width="6.5703125" style="22" bestFit="1" customWidth="1"/>
    <col min="5905" max="5906" width="7.5703125" style="22" bestFit="1" customWidth="1"/>
    <col min="5907" max="5907" width="6.140625" style="22" bestFit="1" customWidth="1"/>
    <col min="5908" max="5908" width="5.5703125" style="22" bestFit="1" customWidth="1"/>
    <col min="5909" max="5909" width="6.5703125" style="22" bestFit="1" customWidth="1"/>
    <col min="5910" max="5910" width="7.140625" style="22" bestFit="1" customWidth="1"/>
    <col min="5911" max="5911" width="8.42578125" style="22" bestFit="1" customWidth="1"/>
    <col min="5912" max="5912" width="8" style="22" bestFit="1" customWidth="1"/>
    <col min="5913" max="5913" width="9.5703125" style="22" bestFit="1" customWidth="1"/>
    <col min="5914" max="5914" width="6.5703125" style="22" customWidth="1"/>
    <col min="5915" max="5915" width="4.85546875" style="22" customWidth="1"/>
    <col min="5916" max="5916" width="8" style="22" bestFit="1" customWidth="1"/>
    <col min="5917" max="5917" width="6.42578125" style="22" bestFit="1" customWidth="1"/>
    <col min="5918" max="5919" width="6.5703125" style="22" bestFit="1" customWidth="1"/>
    <col min="5920" max="5920" width="8.5703125" style="22" bestFit="1" customWidth="1"/>
    <col min="5921" max="5921" width="7.42578125" style="22" customWidth="1"/>
    <col min="5922" max="5922" width="5.42578125" style="22" customWidth="1"/>
    <col min="5923" max="5924" width="5.5703125" style="22" customWidth="1"/>
    <col min="5925" max="5925" width="5.85546875" style="22" customWidth="1"/>
    <col min="5926" max="5926" width="7.85546875" style="22" customWidth="1"/>
    <col min="5927" max="6150" width="9.140625" style="22"/>
    <col min="6151" max="6151" width="3.85546875" style="22" customWidth="1"/>
    <col min="6152" max="6152" width="11" style="22" bestFit="1" customWidth="1"/>
    <col min="6153" max="6154" width="4.42578125" style="22" bestFit="1" customWidth="1"/>
    <col min="6155" max="6155" width="5.5703125" style="22" bestFit="1" customWidth="1"/>
    <col min="6156" max="6156" width="6.85546875" style="22" bestFit="1" customWidth="1"/>
    <col min="6157" max="6157" width="6.42578125" style="22" bestFit="1" customWidth="1"/>
    <col min="6158" max="6158" width="7" style="22" bestFit="1" customWidth="1"/>
    <col min="6159" max="6159" width="7.42578125" style="22" bestFit="1" customWidth="1"/>
    <col min="6160" max="6160" width="6.5703125" style="22" bestFit="1" customWidth="1"/>
    <col min="6161" max="6162" width="7.5703125" style="22" bestFit="1" customWidth="1"/>
    <col min="6163" max="6163" width="6.140625" style="22" bestFit="1" customWidth="1"/>
    <col min="6164" max="6164" width="5.5703125" style="22" bestFit="1" customWidth="1"/>
    <col min="6165" max="6165" width="6.5703125" style="22" bestFit="1" customWidth="1"/>
    <col min="6166" max="6166" width="7.140625" style="22" bestFit="1" customWidth="1"/>
    <col min="6167" max="6167" width="8.42578125" style="22" bestFit="1" customWidth="1"/>
    <col min="6168" max="6168" width="8" style="22" bestFit="1" customWidth="1"/>
    <col min="6169" max="6169" width="9.5703125" style="22" bestFit="1" customWidth="1"/>
    <col min="6170" max="6170" width="6.5703125" style="22" customWidth="1"/>
    <col min="6171" max="6171" width="4.85546875" style="22" customWidth="1"/>
    <col min="6172" max="6172" width="8" style="22" bestFit="1" customWidth="1"/>
    <col min="6173" max="6173" width="6.42578125" style="22" bestFit="1" customWidth="1"/>
    <col min="6174" max="6175" width="6.5703125" style="22" bestFit="1" customWidth="1"/>
    <col min="6176" max="6176" width="8.5703125" style="22" bestFit="1" customWidth="1"/>
    <col min="6177" max="6177" width="7.42578125" style="22" customWidth="1"/>
    <col min="6178" max="6178" width="5.42578125" style="22" customWidth="1"/>
    <col min="6179" max="6180" width="5.5703125" style="22" customWidth="1"/>
    <col min="6181" max="6181" width="5.85546875" style="22" customWidth="1"/>
    <col min="6182" max="6182" width="7.85546875" style="22" customWidth="1"/>
    <col min="6183" max="6406" width="9.140625" style="22"/>
    <col min="6407" max="6407" width="3.85546875" style="22" customWidth="1"/>
    <col min="6408" max="6408" width="11" style="22" bestFit="1" customWidth="1"/>
    <col min="6409" max="6410" width="4.42578125" style="22" bestFit="1" customWidth="1"/>
    <col min="6411" max="6411" width="5.5703125" style="22" bestFit="1" customWidth="1"/>
    <col min="6412" max="6412" width="6.85546875" style="22" bestFit="1" customWidth="1"/>
    <col min="6413" max="6413" width="6.42578125" style="22" bestFit="1" customWidth="1"/>
    <col min="6414" max="6414" width="7" style="22" bestFit="1" customWidth="1"/>
    <col min="6415" max="6415" width="7.42578125" style="22" bestFit="1" customWidth="1"/>
    <col min="6416" max="6416" width="6.5703125" style="22" bestFit="1" customWidth="1"/>
    <col min="6417" max="6418" width="7.5703125" style="22" bestFit="1" customWidth="1"/>
    <col min="6419" max="6419" width="6.140625" style="22" bestFit="1" customWidth="1"/>
    <col min="6420" max="6420" width="5.5703125" style="22" bestFit="1" customWidth="1"/>
    <col min="6421" max="6421" width="6.5703125" style="22" bestFit="1" customWidth="1"/>
    <col min="6422" max="6422" width="7.140625" style="22" bestFit="1" customWidth="1"/>
    <col min="6423" max="6423" width="8.42578125" style="22" bestFit="1" customWidth="1"/>
    <col min="6424" max="6424" width="8" style="22" bestFit="1" customWidth="1"/>
    <col min="6425" max="6425" width="9.5703125" style="22" bestFit="1" customWidth="1"/>
    <col min="6426" max="6426" width="6.5703125" style="22" customWidth="1"/>
    <col min="6427" max="6427" width="4.85546875" style="22" customWidth="1"/>
    <col min="6428" max="6428" width="8" style="22" bestFit="1" customWidth="1"/>
    <col min="6429" max="6429" width="6.42578125" style="22" bestFit="1" customWidth="1"/>
    <col min="6430" max="6431" width="6.5703125" style="22" bestFit="1" customWidth="1"/>
    <col min="6432" max="6432" width="8.5703125" style="22" bestFit="1" customWidth="1"/>
    <col min="6433" max="6433" width="7.42578125" style="22" customWidth="1"/>
    <col min="6434" max="6434" width="5.42578125" style="22" customWidth="1"/>
    <col min="6435" max="6436" width="5.5703125" style="22" customWidth="1"/>
    <col min="6437" max="6437" width="5.85546875" style="22" customWidth="1"/>
    <col min="6438" max="6438" width="7.85546875" style="22" customWidth="1"/>
    <col min="6439" max="6662" width="9.140625" style="22"/>
    <col min="6663" max="6663" width="3.85546875" style="22" customWidth="1"/>
    <col min="6664" max="6664" width="11" style="22" bestFit="1" customWidth="1"/>
    <col min="6665" max="6666" width="4.42578125" style="22" bestFit="1" customWidth="1"/>
    <col min="6667" max="6667" width="5.5703125" style="22" bestFit="1" customWidth="1"/>
    <col min="6668" max="6668" width="6.85546875" style="22" bestFit="1" customWidth="1"/>
    <col min="6669" max="6669" width="6.42578125" style="22" bestFit="1" customWidth="1"/>
    <col min="6670" max="6670" width="7" style="22" bestFit="1" customWidth="1"/>
    <col min="6671" max="6671" width="7.42578125" style="22" bestFit="1" customWidth="1"/>
    <col min="6672" max="6672" width="6.5703125" style="22" bestFit="1" customWidth="1"/>
    <col min="6673" max="6674" width="7.5703125" style="22" bestFit="1" customWidth="1"/>
    <col min="6675" max="6675" width="6.140625" style="22" bestFit="1" customWidth="1"/>
    <col min="6676" max="6676" width="5.5703125" style="22" bestFit="1" customWidth="1"/>
    <col min="6677" max="6677" width="6.5703125" style="22" bestFit="1" customWidth="1"/>
    <col min="6678" max="6678" width="7.140625" style="22" bestFit="1" customWidth="1"/>
    <col min="6679" max="6679" width="8.42578125" style="22" bestFit="1" customWidth="1"/>
    <col min="6680" max="6680" width="8" style="22" bestFit="1" customWidth="1"/>
    <col min="6681" max="6681" width="9.5703125" style="22" bestFit="1" customWidth="1"/>
    <col min="6682" max="6682" width="6.5703125" style="22" customWidth="1"/>
    <col min="6683" max="6683" width="4.85546875" style="22" customWidth="1"/>
    <col min="6684" max="6684" width="8" style="22" bestFit="1" customWidth="1"/>
    <col min="6685" max="6685" width="6.42578125" style="22" bestFit="1" customWidth="1"/>
    <col min="6686" max="6687" width="6.5703125" style="22" bestFit="1" customWidth="1"/>
    <col min="6688" max="6688" width="8.5703125" style="22" bestFit="1" customWidth="1"/>
    <col min="6689" max="6689" width="7.42578125" style="22" customWidth="1"/>
    <col min="6690" max="6690" width="5.42578125" style="22" customWidth="1"/>
    <col min="6691" max="6692" width="5.5703125" style="22" customWidth="1"/>
    <col min="6693" max="6693" width="5.85546875" style="22" customWidth="1"/>
    <col min="6694" max="6694" width="7.85546875" style="22" customWidth="1"/>
    <col min="6695" max="6918" width="9.140625" style="22"/>
    <col min="6919" max="6919" width="3.85546875" style="22" customWidth="1"/>
    <col min="6920" max="6920" width="11" style="22" bestFit="1" customWidth="1"/>
    <col min="6921" max="6922" width="4.42578125" style="22" bestFit="1" customWidth="1"/>
    <col min="6923" max="6923" width="5.5703125" style="22" bestFit="1" customWidth="1"/>
    <col min="6924" max="6924" width="6.85546875" style="22" bestFit="1" customWidth="1"/>
    <col min="6925" max="6925" width="6.42578125" style="22" bestFit="1" customWidth="1"/>
    <col min="6926" max="6926" width="7" style="22" bestFit="1" customWidth="1"/>
    <col min="6927" max="6927" width="7.42578125" style="22" bestFit="1" customWidth="1"/>
    <col min="6928" max="6928" width="6.5703125" style="22" bestFit="1" customWidth="1"/>
    <col min="6929" max="6930" width="7.5703125" style="22" bestFit="1" customWidth="1"/>
    <col min="6931" max="6931" width="6.140625" style="22" bestFit="1" customWidth="1"/>
    <col min="6932" max="6932" width="5.5703125" style="22" bestFit="1" customWidth="1"/>
    <col min="6933" max="6933" width="6.5703125" style="22" bestFit="1" customWidth="1"/>
    <col min="6934" max="6934" width="7.140625" style="22" bestFit="1" customWidth="1"/>
    <col min="6935" max="6935" width="8.42578125" style="22" bestFit="1" customWidth="1"/>
    <col min="6936" max="6936" width="8" style="22" bestFit="1" customWidth="1"/>
    <col min="6937" max="6937" width="9.5703125" style="22" bestFit="1" customWidth="1"/>
    <col min="6938" max="6938" width="6.5703125" style="22" customWidth="1"/>
    <col min="6939" max="6939" width="4.85546875" style="22" customWidth="1"/>
    <col min="6940" max="6940" width="8" style="22" bestFit="1" customWidth="1"/>
    <col min="6941" max="6941" width="6.42578125" style="22" bestFit="1" customWidth="1"/>
    <col min="6942" max="6943" width="6.5703125" style="22" bestFit="1" customWidth="1"/>
    <col min="6944" max="6944" width="8.5703125" style="22" bestFit="1" customWidth="1"/>
    <col min="6945" max="6945" width="7.42578125" style="22" customWidth="1"/>
    <col min="6946" max="6946" width="5.42578125" style="22" customWidth="1"/>
    <col min="6947" max="6948" width="5.5703125" style="22" customWidth="1"/>
    <col min="6949" max="6949" width="5.85546875" style="22" customWidth="1"/>
    <col min="6950" max="6950" width="7.85546875" style="22" customWidth="1"/>
    <col min="6951" max="7174" width="9.140625" style="22"/>
    <col min="7175" max="7175" width="3.85546875" style="22" customWidth="1"/>
    <col min="7176" max="7176" width="11" style="22" bestFit="1" customWidth="1"/>
    <col min="7177" max="7178" width="4.42578125" style="22" bestFit="1" customWidth="1"/>
    <col min="7179" max="7179" width="5.5703125" style="22" bestFit="1" customWidth="1"/>
    <col min="7180" max="7180" width="6.85546875" style="22" bestFit="1" customWidth="1"/>
    <col min="7181" max="7181" width="6.42578125" style="22" bestFit="1" customWidth="1"/>
    <col min="7182" max="7182" width="7" style="22" bestFit="1" customWidth="1"/>
    <col min="7183" max="7183" width="7.42578125" style="22" bestFit="1" customWidth="1"/>
    <col min="7184" max="7184" width="6.5703125" style="22" bestFit="1" customWidth="1"/>
    <col min="7185" max="7186" width="7.5703125" style="22" bestFit="1" customWidth="1"/>
    <col min="7187" max="7187" width="6.140625" style="22" bestFit="1" customWidth="1"/>
    <col min="7188" max="7188" width="5.5703125" style="22" bestFit="1" customWidth="1"/>
    <col min="7189" max="7189" width="6.5703125" style="22" bestFit="1" customWidth="1"/>
    <col min="7190" max="7190" width="7.140625" style="22" bestFit="1" customWidth="1"/>
    <col min="7191" max="7191" width="8.42578125" style="22" bestFit="1" customWidth="1"/>
    <col min="7192" max="7192" width="8" style="22" bestFit="1" customWidth="1"/>
    <col min="7193" max="7193" width="9.5703125" style="22" bestFit="1" customWidth="1"/>
    <col min="7194" max="7194" width="6.5703125" style="22" customWidth="1"/>
    <col min="7195" max="7195" width="4.85546875" style="22" customWidth="1"/>
    <col min="7196" max="7196" width="8" style="22" bestFit="1" customWidth="1"/>
    <col min="7197" max="7197" width="6.42578125" style="22" bestFit="1" customWidth="1"/>
    <col min="7198" max="7199" width="6.5703125" style="22" bestFit="1" customWidth="1"/>
    <col min="7200" max="7200" width="8.5703125" style="22" bestFit="1" customWidth="1"/>
    <col min="7201" max="7201" width="7.42578125" style="22" customWidth="1"/>
    <col min="7202" max="7202" width="5.42578125" style="22" customWidth="1"/>
    <col min="7203" max="7204" width="5.5703125" style="22" customWidth="1"/>
    <col min="7205" max="7205" width="5.85546875" style="22" customWidth="1"/>
    <col min="7206" max="7206" width="7.85546875" style="22" customWidth="1"/>
    <col min="7207" max="7430" width="9.140625" style="22"/>
    <col min="7431" max="7431" width="3.85546875" style="22" customWidth="1"/>
    <col min="7432" max="7432" width="11" style="22" bestFit="1" customWidth="1"/>
    <col min="7433" max="7434" width="4.42578125" style="22" bestFit="1" customWidth="1"/>
    <col min="7435" max="7435" width="5.5703125" style="22" bestFit="1" customWidth="1"/>
    <col min="7436" max="7436" width="6.85546875" style="22" bestFit="1" customWidth="1"/>
    <col min="7437" max="7437" width="6.42578125" style="22" bestFit="1" customWidth="1"/>
    <col min="7438" max="7438" width="7" style="22" bestFit="1" customWidth="1"/>
    <col min="7439" max="7439" width="7.42578125" style="22" bestFit="1" customWidth="1"/>
    <col min="7440" max="7440" width="6.5703125" style="22" bestFit="1" customWidth="1"/>
    <col min="7441" max="7442" width="7.5703125" style="22" bestFit="1" customWidth="1"/>
    <col min="7443" max="7443" width="6.140625" style="22" bestFit="1" customWidth="1"/>
    <col min="7444" max="7444" width="5.5703125" style="22" bestFit="1" customWidth="1"/>
    <col min="7445" max="7445" width="6.5703125" style="22" bestFit="1" customWidth="1"/>
    <col min="7446" max="7446" width="7.140625" style="22" bestFit="1" customWidth="1"/>
    <col min="7447" max="7447" width="8.42578125" style="22" bestFit="1" customWidth="1"/>
    <col min="7448" max="7448" width="8" style="22" bestFit="1" customWidth="1"/>
    <col min="7449" max="7449" width="9.5703125" style="22" bestFit="1" customWidth="1"/>
    <col min="7450" max="7450" width="6.5703125" style="22" customWidth="1"/>
    <col min="7451" max="7451" width="4.85546875" style="22" customWidth="1"/>
    <col min="7452" max="7452" width="8" style="22" bestFit="1" customWidth="1"/>
    <col min="7453" max="7453" width="6.42578125" style="22" bestFit="1" customWidth="1"/>
    <col min="7454" max="7455" width="6.5703125" style="22" bestFit="1" customWidth="1"/>
    <col min="7456" max="7456" width="8.5703125" style="22" bestFit="1" customWidth="1"/>
    <col min="7457" max="7457" width="7.42578125" style="22" customWidth="1"/>
    <col min="7458" max="7458" width="5.42578125" style="22" customWidth="1"/>
    <col min="7459" max="7460" width="5.5703125" style="22" customWidth="1"/>
    <col min="7461" max="7461" width="5.85546875" style="22" customWidth="1"/>
    <col min="7462" max="7462" width="7.85546875" style="22" customWidth="1"/>
    <col min="7463" max="7686" width="9.140625" style="22"/>
    <col min="7687" max="7687" width="3.85546875" style="22" customWidth="1"/>
    <col min="7688" max="7688" width="11" style="22" bestFit="1" customWidth="1"/>
    <col min="7689" max="7690" width="4.42578125" style="22" bestFit="1" customWidth="1"/>
    <col min="7691" max="7691" width="5.5703125" style="22" bestFit="1" customWidth="1"/>
    <col min="7692" max="7692" width="6.85546875" style="22" bestFit="1" customWidth="1"/>
    <col min="7693" max="7693" width="6.42578125" style="22" bestFit="1" customWidth="1"/>
    <col min="7694" max="7694" width="7" style="22" bestFit="1" customWidth="1"/>
    <col min="7695" max="7695" width="7.42578125" style="22" bestFit="1" customWidth="1"/>
    <col min="7696" max="7696" width="6.5703125" style="22" bestFit="1" customWidth="1"/>
    <col min="7697" max="7698" width="7.5703125" style="22" bestFit="1" customWidth="1"/>
    <col min="7699" max="7699" width="6.140625" style="22" bestFit="1" customWidth="1"/>
    <col min="7700" max="7700" width="5.5703125" style="22" bestFit="1" customWidth="1"/>
    <col min="7701" max="7701" width="6.5703125" style="22" bestFit="1" customWidth="1"/>
    <col min="7702" max="7702" width="7.140625" style="22" bestFit="1" customWidth="1"/>
    <col min="7703" max="7703" width="8.42578125" style="22" bestFit="1" customWidth="1"/>
    <col min="7704" max="7704" width="8" style="22" bestFit="1" customWidth="1"/>
    <col min="7705" max="7705" width="9.5703125" style="22" bestFit="1" customWidth="1"/>
    <col min="7706" max="7706" width="6.5703125" style="22" customWidth="1"/>
    <col min="7707" max="7707" width="4.85546875" style="22" customWidth="1"/>
    <col min="7708" max="7708" width="8" style="22" bestFit="1" customWidth="1"/>
    <col min="7709" max="7709" width="6.42578125" style="22" bestFit="1" customWidth="1"/>
    <col min="7710" max="7711" width="6.5703125" style="22" bestFit="1" customWidth="1"/>
    <col min="7712" max="7712" width="8.5703125" style="22" bestFit="1" customWidth="1"/>
    <col min="7713" max="7713" width="7.42578125" style="22" customWidth="1"/>
    <col min="7714" max="7714" width="5.42578125" style="22" customWidth="1"/>
    <col min="7715" max="7716" width="5.5703125" style="22" customWidth="1"/>
    <col min="7717" max="7717" width="5.85546875" style="22" customWidth="1"/>
    <col min="7718" max="7718" width="7.85546875" style="22" customWidth="1"/>
    <col min="7719" max="7942" width="9.140625" style="22"/>
    <col min="7943" max="7943" width="3.85546875" style="22" customWidth="1"/>
    <col min="7944" max="7944" width="11" style="22" bestFit="1" customWidth="1"/>
    <col min="7945" max="7946" width="4.42578125" style="22" bestFit="1" customWidth="1"/>
    <col min="7947" max="7947" width="5.5703125" style="22" bestFit="1" customWidth="1"/>
    <col min="7948" max="7948" width="6.85546875" style="22" bestFit="1" customWidth="1"/>
    <col min="7949" max="7949" width="6.42578125" style="22" bestFit="1" customWidth="1"/>
    <col min="7950" max="7950" width="7" style="22" bestFit="1" customWidth="1"/>
    <col min="7951" max="7951" width="7.42578125" style="22" bestFit="1" customWidth="1"/>
    <col min="7952" max="7952" width="6.5703125" style="22" bestFit="1" customWidth="1"/>
    <col min="7953" max="7954" width="7.5703125" style="22" bestFit="1" customWidth="1"/>
    <col min="7955" max="7955" width="6.140625" style="22" bestFit="1" customWidth="1"/>
    <col min="7956" max="7956" width="5.5703125" style="22" bestFit="1" customWidth="1"/>
    <col min="7957" max="7957" width="6.5703125" style="22" bestFit="1" customWidth="1"/>
    <col min="7958" max="7958" width="7.140625" style="22" bestFit="1" customWidth="1"/>
    <col min="7959" max="7959" width="8.42578125" style="22" bestFit="1" customWidth="1"/>
    <col min="7960" max="7960" width="8" style="22" bestFit="1" customWidth="1"/>
    <col min="7961" max="7961" width="9.5703125" style="22" bestFit="1" customWidth="1"/>
    <col min="7962" max="7962" width="6.5703125" style="22" customWidth="1"/>
    <col min="7963" max="7963" width="4.85546875" style="22" customWidth="1"/>
    <col min="7964" max="7964" width="8" style="22" bestFit="1" customWidth="1"/>
    <col min="7965" max="7965" width="6.42578125" style="22" bestFit="1" customWidth="1"/>
    <col min="7966" max="7967" width="6.5703125" style="22" bestFit="1" customWidth="1"/>
    <col min="7968" max="7968" width="8.5703125" style="22" bestFit="1" customWidth="1"/>
    <col min="7969" max="7969" width="7.42578125" style="22" customWidth="1"/>
    <col min="7970" max="7970" width="5.42578125" style="22" customWidth="1"/>
    <col min="7971" max="7972" width="5.5703125" style="22" customWidth="1"/>
    <col min="7973" max="7973" width="5.85546875" style="22" customWidth="1"/>
    <col min="7974" max="7974" width="7.85546875" style="22" customWidth="1"/>
    <col min="7975" max="8198" width="9.140625" style="22"/>
    <col min="8199" max="8199" width="3.85546875" style="22" customWidth="1"/>
    <col min="8200" max="8200" width="11" style="22" bestFit="1" customWidth="1"/>
    <col min="8201" max="8202" width="4.42578125" style="22" bestFit="1" customWidth="1"/>
    <col min="8203" max="8203" width="5.5703125" style="22" bestFit="1" customWidth="1"/>
    <col min="8204" max="8204" width="6.85546875" style="22" bestFit="1" customWidth="1"/>
    <col min="8205" max="8205" width="6.42578125" style="22" bestFit="1" customWidth="1"/>
    <col min="8206" max="8206" width="7" style="22" bestFit="1" customWidth="1"/>
    <col min="8207" max="8207" width="7.42578125" style="22" bestFit="1" customWidth="1"/>
    <col min="8208" max="8208" width="6.5703125" style="22" bestFit="1" customWidth="1"/>
    <col min="8209" max="8210" width="7.5703125" style="22" bestFit="1" customWidth="1"/>
    <col min="8211" max="8211" width="6.140625" style="22" bestFit="1" customWidth="1"/>
    <col min="8212" max="8212" width="5.5703125" style="22" bestFit="1" customWidth="1"/>
    <col min="8213" max="8213" width="6.5703125" style="22" bestFit="1" customWidth="1"/>
    <col min="8214" max="8214" width="7.140625" style="22" bestFit="1" customWidth="1"/>
    <col min="8215" max="8215" width="8.42578125" style="22" bestFit="1" customWidth="1"/>
    <col min="8216" max="8216" width="8" style="22" bestFit="1" customWidth="1"/>
    <col min="8217" max="8217" width="9.5703125" style="22" bestFit="1" customWidth="1"/>
    <col min="8218" max="8218" width="6.5703125" style="22" customWidth="1"/>
    <col min="8219" max="8219" width="4.85546875" style="22" customWidth="1"/>
    <col min="8220" max="8220" width="8" style="22" bestFit="1" customWidth="1"/>
    <col min="8221" max="8221" width="6.42578125" style="22" bestFit="1" customWidth="1"/>
    <col min="8222" max="8223" width="6.5703125" style="22" bestFit="1" customWidth="1"/>
    <col min="8224" max="8224" width="8.5703125" style="22" bestFit="1" customWidth="1"/>
    <col min="8225" max="8225" width="7.42578125" style="22" customWidth="1"/>
    <col min="8226" max="8226" width="5.42578125" style="22" customWidth="1"/>
    <col min="8227" max="8228" width="5.5703125" style="22" customWidth="1"/>
    <col min="8229" max="8229" width="5.85546875" style="22" customWidth="1"/>
    <col min="8230" max="8230" width="7.85546875" style="22" customWidth="1"/>
    <col min="8231" max="8454" width="9.140625" style="22"/>
    <col min="8455" max="8455" width="3.85546875" style="22" customWidth="1"/>
    <col min="8456" max="8456" width="11" style="22" bestFit="1" customWidth="1"/>
    <col min="8457" max="8458" width="4.42578125" style="22" bestFit="1" customWidth="1"/>
    <col min="8459" max="8459" width="5.5703125" style="22" bestFit="1" customWidth="1"/>
    <col min="8460" max="8460" width="6.85546875" style="22" bestFit="1" customWidth="1"/>
    <col min="8461" max="8461" width="6.42578125" style="22" bestFit="1" customWidth="1"/>
    <col min="8462" max="8462" width="7" style="22" bestFit="1" customWidth="1"/>
    <col min="8463" max="8463" width="7.42578125" style="22" bestFit="1" customWidth="1"/>
    <col min="8464" max="8464" width="6.5703125" style="22" bestFit="1" customWidth="1"/>
    <col min="8465" max="8466" width="7.5703125" style="22" bestFit="1" customWidth="1"/>
    <col min="8467" max="8467" width="6.140625" style="22" bestFit="1" customWidth="1"/>
    <col min="8468" max="8468" width="5.5703125" style="22" bestFit="1" customWidth="1"/>
    <col min="8469" max="8469" width="6.5703125" style="22" bestFit="1" customWidth="1"/>
    <col min="8470" max="8470" width="7.140625" style="22" bestFit="1" customWidth="1"/>
    <col min="8471" max="8471" width="8.42578125" style="22" bestFit="1" customWidth="1"/>
    <col min="8472" max="8472" width="8" style="22" bestFit="1" customWidth="1"/>
    <col min="8473" max="8473" width="9.5703125" style="22" bestFit="1" customWidth="1"/>
    <col min="8474" max="8474" width="6.5703125" style="22" customWidth="1"/>
    <col min="8475" max="8475" width="4.85546875" style="22" customWidth="1"/>
    <col min="8476" max="8476" width="8" style="22" bestFit="1" customWidth="1"/>
    <col min="8477" max="8477" width="6.42578125" style="22" bestFit="1" customWidth="1"/>
    <col min="8478" max="8479" width="6.5703125" style="22" bestFit="1" customWidth="1"/>
    <col min="8480" max="8480" width="8.5703125" style="22" bestFit="1" customWidth="1"/>
    <col min="8481" max="8481" width="7.42578125" style="22" customWidth="1"/>
    <col min="8482" max="8482" width="5.42578125" style="22" customWidth="1"/>
    <col min="8483" max="8484" width="5.5703125" style="22" customWidth="1"/>
    <col min="8485" max="8485" width="5.85546875" style="22" customWidth="1"/>
    <col min="8486" max="8486" width="7.85546875" style="22" customWidth="1"/>
    <col min="8487" max="8710" width="9.140625" style="22"/>
    <col min="8711" max="8711" width="3.85546875" style="22" customWidth="1"/>
    <col min="8712" max="8712" width="11" style="22" bestFit="1" customWidth="1"/>
    <col min="8713" max="8714" width="4.42578125" style="22" bestFit="1" customWidth="1"/>
    <col min="8715" max="8715" width="5.5703125" style="22" bestFit="1" customWidth="1"/>
    <col min="8716" max="8716" width="6.85546875" style="22" bestFit="1" customWidth="1"/>
    <col min="8717" max="8717" width="6.42578125" style="22" bestFit="1" customWidth="1"/>
    <col min="8718" max="8718" width="7" style="22" bestFit="1" customWidth="1"/>
    <col min="8719" max="8719" width="7.42578125" style="22" bestFit="1" customWidth="1"/>
    <col min="8720" max="8720" width="6.5703125" style="22" bestFit="1" customWidth="1"/>
    <col min="8721" max="8722" width="7.5703125" style="22" bestFit="1" customWidth="1"/>
    <col min="8723" max="8723" width="6.140625" style="22" bestFit="1" customWidth="1"/>
    <col min="8724" max="8724" width="5.5703125" style="22" bestFit="1" customWidth="1"/>
    <col min="8725" max="8725" width="6.5703125" style="22" bestFit="1" customWidth="1"/>
    <col min="8726" max="8726" width="7.140625" style="22" bestFit="1" customWidth="1"/>
    <col min="8727" max="8727" width="8.42578125" style="22" bestFit="1" customWidth="1"/>
    <col min="8728" max="8728" width="8" style="22" bestFit="1" customWidth="1"/>
    <col min="8729" max="8729" width="9.5703125" style="22" bestFit="1" customWidth="1"/>
    <col min="8730" max="8730" width="6.5703125" style="22" customWidth="1"/>
    <col min="8731" max="8731" width="4.85546875" style="22" customWidth="1"/>
    <col min="8732" max="8732" width="8" style="22" bestFit="1" customWidth="1"/>
    <col min="8733" max="8733" width="6.42578125" style="22" bestFit="1" customWidth="1"/>
    <col min="8734" max="8735" width="6.5703125" style="22" bestFit="1" customWidth="1"/>
    <col min="8736" max="8736" width="8.5703125" style="22" bestFit="1" customWidth="1"/>
    <col min="8737" max="8737" width="7.42578125" style="22" customWidth="1"/>
    <col min="8738" max="8738" width="5.42578125" style="22" customWidth="1"/>
    <col min="8739" max="8740" width="5.5703125" style="22" customWidth="1"/>
    <col min="8741" max="8741" width="5.85546875" style="22" customWidth="1"/>
    <col min="8742" max="8742" width="7.85546875" style="22" customWidth="1"/>
    <col min="8743" max="8966" width="9.140625" style="22"/>
    <col min="8967" max="8967" width="3.85546875" style="22" customWidth="1"/>
    <col min="8968" max="8968" width="11" style="22" bestFit="1" customWidth="1"/>
    <col min="8969" max="8970" width="4.42578125" style="22" bestFit="1" customWidth="1"/>
    <col min="8971" max="8971" width="5.5703125" style="22" bestFit="1" customWidth="1"/>
    <col min="8972" max="8972" width="6.85546875" style="22" bestFit="1" customWidth="1"/>
    <col min="8973" max="8973" width="6.42578125" style="22" bestFit="1" customWidth="1"/>
    <col min="8974" max="8974" width="7" style="22" bestFit="1" customWidth="1"/>
    <col min="8975" max="8975" width="7.42578125" style="22" bestFit="1" customWidth="1"/>
    <col min="8976" max="8976" width="6.5703125" style="22" bestFit="1" customWidth="1"/>
    <col min="8977" max="8978" width="7.5703125" style="22" bestFit="1" customWidth="1"/>
    <col min="8979" max="8979" width="6.140625" style="22" bestFit="1" customWidth="1"/>
    <col min="8980" max="8980" width="5.5703125" style="22" bestFit="1" customWidth="1"/>
    <col min="8981" max="8981" width="6.5703125" style="22" bestFit="1" customWidth="1"/>
    <col min="8982" max="8982" width="7.140625" style="22" bestFit="1" customWidth="1"/>
    <col min="8983" max="8983" width="8.42578125" style="22" bestFit="1" customWidth="1"/>
    <col min="8984" max="8984" width="8" style="22" bestFit="1" customWidth="1"/>
    <col min="8985" max="8985" width="9.5703125" style="22" bestFit="1" customWidth="1"/>
    <col min="8986" max="8986" width="6.5703125" style="22" customWidth="1"/>
    <col min="8987" max="8987" width="4.85546875" style="22" customWidth="1"/>
    <col min="8988" max="8988" width="8" style="22" bestFit="1" customWidth="1"/>
    <col min="8989" max="8989" width="6.42578125" style="22" bestFit="1" customWidth="1"/>
    <col min="8990" max="8991" width="6.5703125" style="22" bestFit="1" customWidth="1"/>
    <col min="8992" max="8992" width="8.5703125" style="22" bestFit="1" customWidth="1"/>
    <col min="8993" max="8993" width="7.42578125" style="22" customWidth="1"/>
    <col min="8994" max="8994" width="5.42578125" style="22" customWidth="1"/>
    <col min="8995" max="8996" width="5.5703125" style="22" customWidth="1"/>
    <col min="8997" max="8997" width="5.85546875" style="22" customWidth="1"/>
    <col min="8998" max="8998" width="7.85546875" style="22" customWidth="1"/>
    <col min="8999" max="9222" width="9.140625" style="22"/>
    <col min="9223" max="9223" width="3.85546875" style="22" customWidth="1"/>
    <col min="9224" max="9224" width="11" style="22" bestFit="1" customWidth="1"/>
    <col min="9225" max="9226" width="4.42578125" style="22" bestFit="1" customWidth="1"/>
    <col min="9227" max="9227" width="5.5703125" style="22" bestFit="1" customWidth="1"/>
    <col min="9228" max="9228" width="6.85546875" style="22" bestFit="1" customWidth="1"/>
    <col min="9229" max="9229" width="6.42578125" style="22" bestFit="1" customWidth="1"/>
    <col min="9230" max="9230" width="7" style="22" bestFit="1" customWidth="1"/>
    <col min="9231" max="9231" width="7.42578125" style="22" bestFit="1" customWidth="1"/>
    <col min="9232" max="9232" width="6.5703125" style="22" bestFit="1" customWidth="1"/>
    <col min="9233" max="9234" width="7.5703125" style="22" bestFit="1" customWidth="1"/>
    <col min="9235" max="9235" width="6.140625" style="22" bestFit="1" customWidth="1"/>
    <col min="9236" max="9236" width="5.5703125" style="22" bestFit="1" customWidth="1"/>
    <col min="9237" max="9237" width="6.5703125" style="22" bestFit="1" customWidth="1"/>
    <col min="9238" max="9238" width="7.140625" style="22" bestFit="1" customWidth="1"/>
    <col min="9239" max="9239" width="8.42578125" style="22" bestFit="1" customWidth="1"/>
    <col min="9240" max="9240" width="8" style="22" bestFit="1" customWidth="1"/>
    <col min="9241" max="9241" width="9.5703125" style="22" bestFit="1" customWidth="1"/>
    <col min="9242" max="9242" width="6.5703125" style="22" customWidth="1"/>
    <col min="9243" max="9243" width="4.85546875" style="22" customWidth="1"/>
    <col min="9244" max="9244" width="8" style="22" bestFit="1" customWidth="1"/>
    <col min="9245" max="9245" width="6.42578125" style="22" bestFit="1" customWidth="1"/>
    <col min="9246" max="9247" width="6.5703125" style="22" bestFit="1" customWidth="1"/>
    <col min="9248" max="9248" width="8.5703125" style="22" bestFit="1" customWidth="1"/>
    <col min="9249" max="9249" width="7.42578125" style="22" customWidth="1"/>
    <col min="9250" max="9250" width="5.42578125" style="22" customWidth="1"/>
    <col min="9251" max="9252" width="5.5703125" style="22" customWidth="1"/>
    <col min="9253" max="9253" width="5.85546875" style="22" customWidth="1"/>
    <col min="9254" max="9254" width="7.85546875" style="22" customWidth="1"/>
    <col min="9255" max="9478" width="9.140625" style="22"/>
    <col min="9479" max="9479" width="3.85546875" style="22" customWidth="1"/>
    <col min="9480" max="9480" width="11" style="22" bestFit="1" customWidth="1"/>
    <col min="9481" max="9482" width="4.42578125" style="22" bestFit="1" customWidth="1"/>
    <col min="9483" max="9483" width="5.5703125" style="22" bestFit="1" customWidth="1"/>
    <col min="9484" max="9484" width="6.85546875" style="22" bestFit="1" customWidth="1"/>
    <col min="9485" max="9485" width="6.42578125" style="22" bestFit="1" customWidth="1"/>
    <col min="9486" max="9486" width="7" style="22" bestFit="1" customWidth="1"/>
    <col min="9487" max="9487" width="7.42578125" style="22" bestFit="1" customWidth="1"/>
    <col min="9488" max="9488" width="6.5703125" style="22" bestFit="1" customWidth="1"/>
    <col min="9489" max="9490" width="7.5703125" style="22" bestFit="1" customWidth="1"/>
    <col min="9491" max="9491" width="6.140625" style="22" bestFit="1" customWidth="1"/>
    <col min="9492" max="9492" width="5.5703125" style="22" bestFit="1" customWidth="1"/>
    <col min="9493" max="9493" width="6.5703125" style="22" bestFit="1" customWidth="1"/>
    <col min="9494" max="9494" width="7.140625" style="22" bestFit="1" customWidth="1"/>
    <col min="9495" max="9495" width="8.42578125" style="22" bestFit="1" customWidth="1"/>
    <col min="9496" max="9496" width="8" style="22" bestFit="1" customWidth="1"/>
    <col min="9497" max="9497" width="9.5703125" style="22" bestFit="1" customWidth="1"/>
    <col min="9498" max="9498" width="6.5703125" style="22" customWidth="1"/>
    <col min="9499" max="9499" width="4.85546875" style="22" customWidth="1"/>
    <col min="9500" max="9500" width="8" style="22" bestFit="1" customWidth="1"/>
    <col min="9501" max="9501" width="6.42578125" style="22" bestFit="1" customWidth="1"/>
    <col min="9502" max="9503" width="6.5703125" style="22" bestFit="1" customWidth="1"/>
    <col min="9504" max="9504" width="8.5703125" style="22" bestFit="1" customWidth="1"/>
    <col min="9505" max="9505" width="7.42578125" style="22" customWidth="1"/>
    <col min="9506" max="9506" width="5.42578125" style="22" customWidth="1"/>
    <col min="9507" max="9508" width="5.5703125" style="22" customWidth="1"/>
    <col min="9509" max="9509" width="5.85546875" style="22" customWidth="1"/>
    <col min="9510" max="9510" width="7.85546875" style="22" customWidth="1"/>
    <col min="9511" max="9734" width="9.140625" style="22"/>
    <col min="9735" max="9735" width="3.85546875" style="22" customWidth="1"/>
    <col min="9736" max="9736" width="11" style="22" bestFit="1" customWidth="1"/>
    <col min="9737" max="9738" width="4.42578125" style="22" bestFit="1" customWidth="1"/>
    <col min="9739" max="9739" width="5.5703125" style="22" bestFit="1" customWidth="1"/>
    <col min="9740" max="9740" width="6.85546875" style="22" bestFit="1" customWidth="1"/>
    <col min="9741" max="9741" width="6.42578125" style="22" bestFit="1" customWidth="1"/>
    <col min="9742" max="9742" width="7" style="22" bestFit="1" customWidth="1"/>
    <col min="9743" max="9743" width="7.42578125" style="22" bestFit="1" customWidth="1"/>
    <col min="9744" max="9744" width="6.5703125" style="22" bestFit="1" customWidth="1"/>
    <col min="9745" max="9746" width="7.5703125" style="22" bestFit="1" customWidth="1"/>
    <col min="9747" max="9747" width="6.140625" style="22" bestFit="1" customWidth="1"/>
    <col min="9748" max="9748" width="5.5703125" style="22" bestFit="1" customWidth="1"/>
    <col min="9749" max="9749" width="6.5703125" style="22" bestFit="1" customWidth="1"/>
    <col min="9750" max="9750" width="7.140625" style="22" bestFit="1" customWidth="1"/>
    <col min="9751" max="9751" width="8.42578125" style="22" bestFit="1" customWidth="1"/>
    <col min="9752" max="9752" width="8" style="22" bestFit="1" customWidth="1"/>
    <col min="9753" max="9753" width="9.5703125" style="22" bestFit="1" customWidth="1"/>
    <col min="9754" max="9754" width="6.5703125" style="22" customWidth="1"/>
    <col min="9755" max="9755" width="4.85546875" style="22" customWidth="1"/>
    <col min="9756" max="9756" width="8" style="22" bestFit="1" customWidth="1"/>
    <col min="9757" max="9757" width="6.42578125" style="22" bestFit="1" customWidth="1"/>
    <col min="9758" max="9759" width="6.5703125" style="22" bestFit="1" customWidth="1"/>
    <col min="9760" max="9760" width="8.5703125" style="22" bestFit="1" customWidth="1"/>
    <col min="9761" max="9761" width="7.42578125" style="22" customWidth="1"/>
    <col min="9762" max="9762" width="5.42578125" style="22" customWidth="1"/>
    <col min="9763" max="9764" width="5.5703125" style="22" customWidth="1"/>
    <col min="9765" max="9765" width="5.85546875" style="22" customWidth="1"/>
    <col min="9766" max="9766" width="7.85546875" style="22" customWidth="1"/>
    <col min="9767" max="9990" width="9.140625" style="22"/>
    <col min="9991" max="9991" width="3.85546875" style="22" customWidth="1"/>
    <col min="9992" max="9992" width="11" style="22" bestFit="1" customWidth="1"/>
    <col min="9993" max="9994" width="4.42578125" style="22" bestFit="1" customWidth="1"/>
    <col min="9995" max="9995" width="5.5703125" style="22" bestFit="1" customWidth="1"/>
    <col min="9996" max="9996" width="6.85546875" style="22" bestFit="1" customWidth="1"/>
    <col min="9997" max="9997" width="6.42578125" style="22" bestFit="1" customWidth="1"/>
    <col min="9998" max="9998" width="7" style="22" bestFit="1" customWidth="1"/>
    <col min="9999" max="9999" width="7.42578125" style="22" bestFit="1" customWidth="1"/>
    <col min="10000" max="10000" width="6.5703125" style="22" bestFit="1" customWidth="1"/>
    <col min="10001" max="10002" width="7.5703125" style="22" bestFit="1" customWidth="1"/>
    <col min="10003" max="10003" width="6.140625" style="22" bestFit="1" customWidth="1"/>
    <col min="10004" max="10004" width="5.5703125" style="22" bestFit="1" customWidth="1"/>
    <col min="10005" max="10005" width="6.5703125" style="22" bestFit="1" customWidth="1"/>
    <col min="10006" max="10006" width="7.140625" style="22" bestFit="1" customWidth="1"/>
    <col min="10007" max="10007" width="8.42578125" style="22" bestFit="1" customWidth="1"/>
    <col min="10008" max="10008" width="8" style="22" bestFit="1" customWidth="1"/>
    <col min="10009" max="10009" width="9.5703125" style="22" bestFit="1" customWidth="1"/>
    <col min="10010" max="10010" width="6.5703125" style="22" customWidth="1"/>
    <col min="10011" max="10011" width="4.85546875" style="22" customWidth="1"/>
    <col min="10012" max="10012" width="8" style="22" bestFit="1" customWidth="1"/>
    <col min="10013" max="10013" width="6.42578125" style="22" bestFit="1" customWidth="1"/>
    <col min="10014" max="10015" width="6.5703125" style="22" bestFit="1" customWidth="1"/>
    <col min="10016" max="10016" width="8.5703125" style="22" bestFit="1" customWidth="1"/>
    <col min="10017" max="10017" width="7.42578125" style="22" customWidth="1"/>
    <col min="10018" max="10018" width="5.42578125" style="22" customWidth="1"/>
    <col min="10019" max="10020" width="5.5703125" style="22" customWidth="1"/>
    <col min="10021" max="10021" width="5.85546875" style="22" customWidth="1"/>
    <col min="10022" max="10022" width="7.85546875" style="22" customWidth="1"/>
    <col min="10023" max="10246" width="9.140625" style="22"/>
    <col min="10247" max="10247" width="3.85546875" style="22" customWidth="1"/>
    <col min="10248" max="10248" width="11" style="22" bestFit="1" customWidth="1"/>
    <col min="10249" max="10250" width="4.42578125" style="22" bestFit="1" customWidth="1"/>
    <col min="10251" max="10251" width="5.5703125" style="22" bestFit="1" customWidth="1"/>
    <col min="10252" max="10252" width="6.85546875" style="22" bestFit="1" customWidth="1"/>
    <col min="10253" max="10253" width="6.42578125" style="22" bestFit="1" customWidth="1"/>
    <col min="10254" max="10254" width="7" style="22" bestFit="1" customWidth="1"/>
    <col min="10255" max="10255" width="7.42578125" style="22" bestFit="1" customWidth="1"/>
    <col min="10256" max="10256" width="6.5703125" style="22" bestFit="1" customWidth="1"/>
    <col min="10257" max="10258" width="7.5703125" style="22" bestFit="1" customWidth="1"/>
    <col min="10259" max="10259" width="6.140625" style="22" bestFit="1" customWidth="1"/>
    <col min="10260" max="10260" width="5.5703125" style="22" bestFit="1" customWidth="1"/>
    <col min="10261" max="10261" width="6.5703125" style="22" bestFit="1" customWidth="1"/>
    <col min="10262" max="10262" width="7.140625" style="22" bestFit="1" customWidth="1"/>
    <col min="10263" max="10263" width="8.42578125" style="22" bestFit="1" customWidth="1"/>
    <col min="10264" max="10264" width="8" style="22" bestFit="1" customWidth="1"/>
    <col min="10265" max="10265" width="9.5703125" style="22" bestFit="1" customWidth="1"/>
    <col min="10266" max="10266" width="6.5703125" style="22" customWidth="1"/>
    <col min="10267" max="10267" width="4.85546875" style="22" customWidth="1"/>
    <col min="10268" max="10268" width="8" style="22" bestFit="1" customWidth="1"/>
    <col min="10269" max="10269" width="6.42578125" style="22" bestFit="1" customWidth="1"/>
    <col min="10270" max="10271" width="6.5703125" style="22" bestFit="1" customWidth="1"/>
    <col min="10272" max="10272" width="8.5703125" style="22" bestFit="1" customWidth="1"/>
    <col min="10273" max="10273" width="7.42578125" style="22" customWidth="1"/>
    <col min="10274" max="10274" width="5.42578125" style="22" customWidth="1"/>
    <col min="10275" max="10276" width="5.5703125" style="22" customWidth="1"/>
    <col min="10277" max="10277" width="5.85546875" style="22" customWidth="1"/>
    <col min="10278" max="10278" width="7.85546875" style="22" customWidth="1"/>
    <col min="10279" max="10502" width="9.140625" style="22"/>
    <col min="10503" max="10503" width="3.85546875" style="22" customWidth="1"/>
    <col min="10504" max="10504" width="11" style="22" bestFit="1" customWidth="1"/>
    <col min="10505" max="10506" width="4.42578125" style="22" bestFit="1" customWidth="1"/>
    <col min="10507" max="10507" width="5.5703125" style="22" bestFit="1" customWidth="1"/>
    <col min="10508" max="10508" width="6.85546875" style="22" bestFit="1" customWidth="1"/>
    <col min="10509" max="10509" width="6.42578125" style="22" bestFit="1" customWidth="1"/>
    <col min="10510" max="10510" width="7" style="22" bestFit="1" customWidth="1"/>
    <col min="10511" max="10511" width="7.42578125" style="22" bestFit="1" customWidth="1"/>
    <col min="10512" max="10512" width="6.5703125" style="22" bestFit="1" customWidth="1"/>
    <col min="10513" max="10514" width="7.5703125" style="22" bestFit="1" customWidth="1"/>
    <col min="10515" max="10515" width="6.140625" style="22" bestFit="1" customWidth="1"/>
    <col min="10516" max="10516" width="5.5703125" style="22" bestFit="1" customWidth="1"/>
    <col min="10517" max="10517" width="6.5703125" style="22" bestFit="1" customWidth="1"/>
    <col min="10518" max="10518" width="7.140625" style="22" bestFit="1" customWidth="1"/>
    <col min="10519" max="10519" width="8.42578125" style="22" bestFit="1" customWidth="1"/>
    <col min="10520" max="10520" width="8" style="22" bestFit="1" customWidth="1"/>
    <col min="10521" max="10521" width="9.5703125" style="22" bestFit="1" customWidth="1"/>
    <col min="10522" max="10522" width="6.5703125" style="22" customWidth="1"/>
    <col min="10523" max="10523" width="4.85546875" style="22" customWidth="1"/>
    <col min="10524" max="10524" width="8" style="22" bestFit="1" customWidth="1"/>
    <col min="10525" max="10525" width="6.42578125" style="22" bestFit="1" customWidth="1"/>
    <col min="10526" max="10527" width="6.5703125" style="22" bestFit="1" customWidth="1"/>
    <col min="10528" max="10528" width="8.5703125" style="22" bestFit="1" customWidth="1"/>
    <col min="10529" max="10529" width="7.42578125" style="22" customWidth="1"/>
    <col min="10530" max="10530" width="5.42578125" style="22" customWidth="1"/>
    <col min="10531" max="10532" width="5.5703125" style="22" customWidth="1"/>
    <col min="10533" max="10533" width="5.85546875" style="22" customWidth="1"/>
    <col min="10534" max="10534" width="7.85546875" style="22" customWidth="1"/>
    <col min="10535" max="10758" width="9.140625" style="22"/>
    <col min="10759" max="10759" width="3.85546875" style="22" customWidth="1"/>
    <col min="10760" max="10760" width="11" style="22" bestFit="1" customWidth="1"/>
    <col min="10761" max="10762" width="4.42578125" style="22" bestFit="1" customWidth="1"/>
    <col min="10763" max="10763" width="5.5703125" style="22" bestFit="1" customWidth="1"/>
    <col min="10764" max="10764" width="6.85546875" style="22" bestFit="1" customWidth="1"/>
    <col min="10765" max="10765" width="6.42578125" style="22" bestFit="1" customWidth="1"/>
    <col min="10766" max="10766" width="7" style="22" bestFit="1" customWidth="1"/>
    <col min="10767" max="10767" width="7.42578125" style="22" bestFit="1" customWidth="1"/>
    <col min="10768" max="10768" width="6.5703125" style="22" bestFit="1" customWidth="1"/>
    <col min="10769" max="10770" width="7.5703125" style="22" bestFit="1" customWidth="1"/>
    <col min="10771" max="10771" width="6.140625" style="22" bestFit="1" customWidth="1"/>
    <col min="10772" max="10772" width="5.5703125" style="22" bestFit="1" customWidth="1"/>
    <col min="10773" max="10773" width="6.5703125" style="22" bestFit="1" customWidth="1"/>
    <col min="10774" max="10774" width="7.140625" style="22" bestFit="1" customWidth="1"/>
    <col min="10775" max="10775" width="8.42578125" style="22" bestFit="1" customWidth="1"/>
    <col min="10776" max="10776" width="8" style="22" bestFit="1" customWidth="1"/>
    <col min="10777" max="10777" width="9.5703125" style="22" bestFit="1" customWidth="1"/>
    <col min="10778" max="10778" width="6.5703125" style="22" customWidth="1"/>
    <col min="10779" max="10779" width="4.85546875" style="22" customWidth="1"/>
    <col min="10780" max="10780" width="8" style="22" bestFit="1" customWidth="1"/>
    <col min="10781" max="10781" width="6.42578125" style="22" bestFit="1" customWidth="1"/>
    <col min="10782" max="10783" width="6.5703125" style="22" bestFit="1" customWidth="1"/>
    <col min="10784" max="10784" width="8.5703125" style="22" bestFit="1" customWidth="1"/>
    <col min="10785" max="10785" width="7.42578125" style="22" customWidth="1"/>
    <col min="10786" max="10786" width="5.42578125" style="22" customWidth="1"/>
    <col min="10787" max="10788" width="5.5703125" style="22" customWidth="1"/>
    <col min="10789" max="10789" width="5.85546875" style="22" customWidth="1"/>
    <col min="10790" max="10790" width="7.85546875" style="22" customWidth="1"/>
    <col min="10791" max="11014" width="9.140625" style="22"/>
    <col min="11015" max="11015" width="3.85546875" style="22" customWidth="1"/>
    <col min="11016" max="11016" width="11" style="22" bestFit="1" customWidth="1"/>
    <col min="11017" max="11018" width="4.42578125" style="22" bestFit="1" customWidth="1"/>
    <col min="11019" max="11019" width="5.5703125" style="22" bestFit="1" customWidth="1"/>
    <col min="11020" max="11020" width="6.85546875" style="22" bestFit="1" customWidth="1"/>
    <col min="11021" max="11021" width="6.42578125" style="22" bestFit="1" customWidth="1"/>
    <col min="11022" max="11022" width="7" style="22" bestFit="1" customWidth="1"/>
    <col min="11023" max="11023" width="7.42578125" style="22" bestFit="1" customWidth="1"/>
    <col min="11024" max="11024" width="6.5703125" style="22" bestFit="1" customWidth="1"/>
    <col min="11025" max="11026" width="7.5703125" style="22" bestFit="1" customWidth="1"/>
    <col min="11027" max="11027" width="6.140625" style="22" bestFit="1" customWidth="1"/>
    <col min="11028" max="11028" width="5.5703125" style="22" bestFit="1" customWidth="1"/>
    <col min="11029" max="11029" width="6.5703125" style="22" bestFit="1" customWidth="1"/>
    <col min="11030" max="11030" width="7.140625" style="22" bestFit="1" customWidth="1"/>
    <col min="11031" max="11031" width="8.42578125" style="22" bestFit="1" customWidth="1"/>
    <col min="11032" max="11032" width="8" style="22" bestFit="1" customWidth="1"/>
    <col min="11033" max="11033" width="9.5703125" style="22" bestFit="1" customWidth="1"/>
    <col min="11034" max="11034" width="6.5703125" style="22" customWidth="1"/>
    <col min="11035" max="11035" width="4.85546875" style="22" customWidth="1"/>
    <col min="11036" max="11036" width="8" style="22" bestFit="1" customWidth="1"/>
    <col min="11037" max="11037" width="6.42578125" style="22" bestFit="1" customWidth="1"/>
    <col min="11038" max="11039" width="6.5703125" style="22" bestFit="1" customWidth="1"/>
    <col min="11040" max="11040" width="8.5703125" style="22" bestFit="1" customWidth="1"/>
    <col min="11041" max="11041" width="7.42578125" style="22" customWidth="1"/>
    <col min="11042" max="11042" width="5.42578125" style="22" customWidth="1"/>
    <col min="11043" max="11044" width="5.5703125" style="22" customWidth="1"/>
    <col min="11045" max="11045" width="5.85546875" style="22" customWidth="1"/>
    <col min="11046" max="11046" width="7.85546875" style="22" customWidth="1"/>
    <col min="11047" max="11270" width="9.140625" style="22"/>
    <col min="11271" max="11271" width="3.85546875" style="22" customWidth="1"/>
    <col min="11272" max="11272" width="11" style="22" bestFit="1" customWidth="1"/>
    <col min="11273" max="11274" width="4.42578125" style="22" bestFit="1" customWidth="1"/>
    <col min="11275" max="11275" width="5.5703125" style="22" bestFit="1" customWidth="1"/>
    <col min="11276" max="11276" width="6.85546875" style="22" bestFit="1" customWidth="1"/>
    <col min="11277" max="11277" width="6.42578125" style="22" bestFit="1" customWidth="1"/>
    <col min="11278" max="11278" width="7" style="22" bestFit="1" customWidth="1"/>
    <col min="11279" max="11279" width="7.42578125" style="22" bestFit="1" customWidth="1"/>
    <col min="11280" max="11280" width="6.5703125" style="22" bestFit="1" customWidth="1"/>
    <col min="11281" max="11282" width="7.5703125" style="22" bestFit="1" customWidth="1"/>
    <col min="11283" max="11283" width="6.140625" style="22" bestFit="1" customWidth="1"/>
    <col min="11284" max="11284" width="5.5703125" style="22" bestFit="1" customWidth="1"/>
    <col min="11285" max="11285" width="6.5703125" style="22" bestFit="1" customWidth="1"/>
    <col min="11286" max="11286" width="7.140625" style="22" bestFit="1" customWidth="1"/>
    <col min="11287" max="11287" width="8.42578125" style="22" bestFit="1" customWidth="1"/>
    <col min="11288" max="11288" width="8" style="22" bestFit="1" customWidth="1"/>
    <col min="11289" max="11289" width="9.5703125" style="22" bestFit="1" customWidth="1"/>
    <col min="11290" max="11290" width="6.5703125" style="22" customWidth="1"/>
    <col min="11291" max="11291" width="4.85546875" style="22" customWidth="1"/>
    <col min="11292" max="11292" width="8" style="22" bestFit="1" customWidth="1"/>
    <col min="11293" max="11293" width="6.42578125" style="22" bestFit="1" customWidth="1"/>
    <col min="11294" max="11295" width="6.5703125" style="22" bestFit="1" customWidth="1"/>
    <col min="11296" max="11296" width="8.5703125" style="22" bestFit="1" customWidth="1"/>
    <col min="11297" max="11297" width="7.42578125" style="22" customWidth="1"/>
    <col min="11298" max="11298" width="5.42578125" style="22" customWidth="1"/>
    <col min="11299" max="11300" width="5.5703125" style="22" customWidth="1"/>
    <col min="11301" max="11301" width="5.85546875" style="22" customWidth="1"/>
    <col min="11302" max="11302" width="7.85546875" style="22" customWidth="1"/>
    <col min="11303" max="11526" width="9.140625" style="22"/>
    <col min="11527" max="11527" width="3.85546875" style="22" customWidth="1"/>
    <col min="11528" max="11528" width="11" style="22" bestFit="1" customWidth="1"/>
    <col min="11529" max="11530" width="4.42578125" style="22" bestFit="1" customWidth="1"/>
    <col min="11531" max="11531" width="5.5703125" style="22" bestFit="1" customWidth="1"/>
    <col min="11532" max="11532" width="6.85546875" style="22" bestFit="1" customWidth="1"/>
    <col min="11533" max="11533" width="6.42578125" style="22" bestFit="1" customWidth="1"/>
    <col min="11534" max="11534" width="7" style="22" bestFit="1" customWidth="1"/>
    <col min="11535" max="11535" width="7.42578125" style="22" bestFit="1" customWidth="1"/>
    <col min="11536" max="11536" width="6.5703125" style="22" bestFit="1" customWidth="1"/>
    <col min="11537" max="11538" width="7.5703125" style="22" bestFit="1" customWidth="1"/>
    <col min="11539" max="11539" width="6.140625" style="22" bestFit="1" customWidth="1"/>
    <col min="11540" max="11540" width="5.5703125" style="22" bestFit="1" customWidth="1"/>
    <col min="11541" max="11541" width="6.5703125" style="22" bestFit="1" customWidth="1"/>
    <col min="11542" max="11542" width="7.140625" style="22" bestFit="1" customWidth="1"/>
    <col min="11543" max="11543" width="8.42578125" style="22" bestFit="1" customWidth="1"/>
    <col min="11544" max="11544" width="8" style="22" bestFit="1" customWidth="1"/>
    <col min="11545" max="11545" width="9.5703125" style="22" bestFit="1" customWidth="1"/>
    <col min="11546" max="11546" width="6.5703125" style="22" customWidth="1"/>
    <col min="11547" max="11547" width="4.85546875" style="22" customWidth="1"/>
    <col min="11548" max="11548" width="8" style="22" bestFit="1" customWidth="1"/>
    <col min="11549" max="11549" width="6.42578125" style="22" bestFit="1" customWidth="1"/>
    <col min="11550" max="11551" width="6.5703125" style="22" bestFit="1" customWidth="1"/>
    <col min="11552" max="11552" width="8.5703125" style="22" bestFit="1" customWidth="1"/>
    <col min="11553" max="11553" width="7.42578125" style="22" customWidth="1"/>
    <col min="11554" max="11554" width="5.42578125" style="22" customWidth="1"/>
    <col min="11555" max="11556" width="5.5703125" style="22" customWidth="1"/>
    <col min="11557" max="11557" width="5.85546875" style="22" customWidth="1"/>
    <col min="11558" max="11558" width="7.85546875" style="22" customWidth="1"/>
    <col min="11559" max="11782" width="9.140625" style="22"/>
    <col min="11783" max="11783" width="3.85546875" style="22" customWidth="1"/>
    <col min="11784" max="11784" width="11" style="22" bestFit="1" customWidth="1"/>
    <col min="11785" max="11786" width="4.42578125" style="22" bestFit="1" customWidth="1"/>
    <col min="11787" max="11787" width="5.5703125" style="22" bestFit="1" customWidth="1"/>
    <col min="11788" max="11788" width="6.85546875" style="22" bestFit="1" customWidth="1"/>
    <col min="11789" max="11789" width="6.42578125" style="22" bestFit="1" customWidth="1"/>
    <col min="11790" max="11790" width="7" style="22" bestFit="1" customWidth="1"/>
    <col min="11791" max="11791" width="7.42578125" style="22" bestFit="1" customWidth="1"/>
    <col min="11792" max="11792" width="6.5703125" style="22" bestFit="1" customWidth="1"/>
    <col min="11793" max="11794" width="7.5703125" style="22" bestFit="1" customWidth="1"/>
    <col min="11795" max="11795" width="6.140625" style="22" bestFit="1" customWidth="1"/>
    <col min="11796" max="11796" width="5.5703125" style="22" bestFit="1" customWidth="1"/>
    <col min="11797" max="11797" width="6.5703125" style="22" bestFit="1" customWidth="1"/>
    <col min="11798" max="11798" width="7.140625" style="22" bestFit="1" customWidth="1"/>
    <col min="11799" max="11799" width="8.42578125" style="22" bestFit="1" customWidth="1"/>
    <col min="11800" max="11800" width="8" style="22" bestFit="1" customWidth="1"/>
    <col min="11801" max="11801" width="9.5703125" style="22" bestFit="1" customWidth="1"/>
    <col min="11802" max="11802" width="6.5703125" style="22" customWidth="1"/>
    <col min="11803" max="11803" width="4.85546875" style="22" customWidth="1"/>
    <col min="11804" max="11804" width="8" style="22" bestFit="1" customWidth="1"/>
    <col min="11805" max="11805" width="6.42578125" style="22" bestFit="1" customWidth="1"/>
    <col min="11806" max="11807" width="6.5703125" style="22" bestFit="1" customWidth="1"/>
    <col min="11808" max="11808" width="8.5703125" style="22" bestFit="1" customWidth="1"/>
    <col min="11809" max="11809" width="7.42578125" style="22" customWidth="1"/>
    <col min="11810" max="11810" width="5.42578125" style="22" customWidth="1"/>
    <col min="11811" max="11812" width="5.5703125" style="22" customWidth="1"/>
    <col min="11813" max="11813" width="5.85546875" style="22" customWidth="1"/>
    <col min="11814" max="11814" width="7.85546875" style="22" customWidth="1"/>
    <col min="11815" max="12038" width="9.140625" style="22"/>
    <col min="12039" max="12039" width="3.85546875" style="22" customWidth="1"/>
    <col min="12040" max="12040" width="11" style="22" bestFit="1" customWidth="1"/>
    <col min="12041" max="12042" width="4.42578125" style="22" bestFit="1" customWidth="1"/>
    <col min="12043" max="12043" width="5.5703125" style="22" bestFit="1" customWidth="1"/>
    <col min="12044" max="12044" width="6.85546875" style="22" bestFit="1" customWidth="1"/>
    <col min="12045" max="12045" width="6.42578125" style="22" bestFit="1" customWidth="1"/>
    <col min="12046" max="12046" width="7" style="22" bestFit="1" customWidth="1"/>
    <col min="12047" max="12047" width="7.42578125" style="22" bestFit="1" customWidth="1"/>
    <col min="12048" max="12048" width="6.5703125" style="22" bestFit="1" customWidth="1"/>
    <col min="12049" max="12050" width="7.5703125" style="22" bestFit="1" customWidth="1"/>
    <col min="12051" max="12051" width="6.140625" style="22" bestFit="1" customWidth="1"/>
    <col min="12052" max="12052" width="5.5703125" style="22" bestFit="1" customWidth="1"/>
    <col min="12053" max="12053" width="6.5703125" style="22" bestFit="1" customWidth="1"/>
    <col min="12054" max="12054" width="7.140625" style="22" bestFit="1" customWidth="1"/>
    <col min="12055" max="12055" width="8.42578125" style="22" bestFit="1" customWidth="1"/>
    <col min="12056" max="12056" width="8" style="22" bestFit="1" customWidth="1"/>
    <col min="12057" max="12057" width="9.5703125" style="22" bestFit="1" customWidth="1"/>
    <col min="12058" max="12058" width="6.5703125" style="22" customWidth="1"/>
    <col min="12059" max="12059" width="4.85546875" style="22" customWidth="1"/>
    <col min="12060" max="12060" width="8" style="22" bestFit="1" customWidth="1"/>
    <col min="12061" max="12061" width="6.42578125" style="22" bestFit="1" customWidth="1"/>
    <col min="12062" max="12063" width="6.5703125" style="22" bestFit="1" customWidth="1"/>
    <col min="12064" max="12064" width="8.5703125" style="22" bestFit="1" customWidth="1"/>
    <col min="12065" max="12065" width="7.42578125" style="22" customWidth="1"/>
    <col min="12066" max="12066" width="5.42578125" style="22" customWidth="1"/>
    <col min="12067" max="12068" width="5.5703125" style="22" customWidth="1"/>
    <col min="12069" max="12069" width="5.85546875" style="22" customWidth="1"/>
    <col min="12070" max="12070" width="7.85546875" style="22" customWidth="1"/>
    <col min="12071" max="12294" width="9.140625" style="22"/>
    <col min="12295" max="12295" width="3.85546875" style="22" customWidth="1"/>
    <col min="12296" max="12296" width="11" style="22" bestFit="1" customWidth="1"/>
    <col min="12297" max="12298" width="4.42578125" style="22" bestFit="1" customWidth="1"/>
    <col min="12299" max="12299" width="5.5703125" style="22" bestFit="1" customWidth="1"/>
    <col min="12300" max="12300" width="6.85546875" style="22" bestFit="1" customWidth="1"/>
    <col min="12301" max="12301" width="6.42578125" style="22" bestFit="1" customWidth="1"/>
    <col min="12302" max="12302" width="7" style="22" bestFit="1" customWidth="1"/>
    <col min="12303" max="12303" width="7.42578125" style="22" bestFit="1" customWidth="1"/>
    <col min="12304" max="12304" width="6.5703125" style="22" bestFit="1" customWidth="1"/>
    <col min="12305" max="12306" width="7.5703125" style="22" bestFit="1" customWidth="1"/>
    <col min="12307" max="12307" width="6.140625" style="22" bestFit="1" customWidth="1"/>
    <col min="12308" max="12308" width="5.5703125" style="22" bestFit="1" customWidth="1"/>
    <col min="12309" max="12309" width="6.5703125" style="22" bestFit="1" customWidth="1"/>
    <col min="12310" max="12310" width="7.140625" style="22" bestFit="1" customWidth="1"/>
    <col min="12311" max="12311" width="8.42578125" style="22" bestFit="1" customWidth="1"/>
    <col min="12312" max="12312" width="8" style="22" bestFit="1" customWidth="1"/>
    <col min="12313" max="12313" width="9.5703125" style="22" bestFit="1" customWidth="1"/>
    <col min="12314" max="12314" width="6.5703125" style="22" customWidth="1"/>
    <col min="12315" max="12315" width="4.85546875" style="22" customWidth="1"/>
    <col min="12316" max="12316" width="8" style="22" bestFit="1" customWidth="1"/>
    <col min="12317" max="12317" width="6.42578125" style="22" bestFit="1" customWidth="1"/>
    <col min="12318" max="12319" width="6.5703125" style="22" bestFit="1" customWidth="1"/>
    <col min="12320" max="12320" width="8.5703125" style="22" bestFit="1" customWidth="1"/>
    <col min="12321" max="12321" width="7.42578125" style="22" customWidth="1"/>
    <col min="12322" max="12322" width="5.42578125" style="22" customWidth="1"/>
    <col min="12323" max="12324" width="5.5703125" style="22" customWidth="1"/>
    <col min="12325" max="12325" width="5.85546875" style="22" customWidth="1"/>
    <col min="12326" max="12326" width="7.85546875" style="22" customWidth="1"/>
    <col min="12327" max="12550" width="9.140625" style="22"/>
    <col min="12551" max="12551" width="3.85546875" style="22" customWidth="1"/>
    <col min="12552" max="12552" width="11" style="22" bestFit="1" customWidth="1"/>
    <col min="12553" max="12554" width="4.42578125" style="22" bestFit="1" customWidth="1"/>
    <col min="12555" max="12555" width="5.5703125" style="22" bestFit="1" customWidth="1"/>
    <col min="12556" max="12556" width="6.85546875" style="22" bestFit="1" customWidth="1"/>
    <col min="12557" max="12557" width="6.42578125" style="22" bestFit="1" customWidth="1"/>
    <col min="12558" max="12558" width="7" style="22" bestFit="1" customWidth="1"/>
    <col min="12559" max="12559" width="7.42578125" style="22" bestFit="1" customWidth="1"/>
    <col min="12560" max="12560" width="6.5703125" style="22" bestFit="1" customWidth="1"/>
    <col min="12561" max="12562" width="7.5703125" style="22" bestFit="1" customWidth="1"/>
    <col min="12563" max="12563" width="6.140625" style="22" bestFit="1" customWidth="1"/>
    <col min="12564" max="12564" width="5.5703125" style="22" bestFit="1" customWidth="1"/>
    <col min="12565" max="12565" width="6.5703125" style="22" bestFit="1" customWidth="1"/>
    <col min="12566" max="12566" width="7.140625" style="22" bestFit="1" customWidth="1"/>
    <col min="12567" max="12567" width="8.42578125" style="22" bestFit="1" customWidth="1"/>
    <col min="12568" max="12568" width="8" style="22" bestFit="1" customWidth="1"/>
    <col min="12569" max="12569" width="9.5703125" style="22" bestFit="1" customWidth="1"/>
    <col min="12570" max="12570" width="6.5703125" style="22" customWidth="1"/>
    <col min="12571" max="12571" width="4.85546875" style="22" customWidth="1"/>
    <col min="12572" max="12572" width="8" style="22" bestFit="1" customWidth="1"/>
    <col min="12573" max="12573" width="6.42578125" style="22" bestFit="1" customWidth="1"/>
    <col min="12574" max="12575" width="6.5703125" style="22" bestFit="1" customWidth="1"/>
    <col min="12576" max="12576" width="8.5703125" style="22" bestFit="1" customWidth="1"/>
    <col min="12577" max="12577" width="7.42578125" style="22" customWidth="1"/>
    <col min="12578" max="12578" width="5.42578125" style="22" customWidth="1"/>
    <col min="12579" max="12580" width="5.5703125" style="22" customWidth="1"/>
    <col min="12581" max="12581" width="5.85546875" style="22" customWidth="1"/>
    <col min="12582" max="12582" width="7.85546875" style="22" customWidth="1"/>
    <col min="12583" max="12806" width="9.140625" style="22"/>
    <col min="12807" max="12807" width="3.85546875" style="22" customWidth="1"/>
    <col min="12808" max="12808" width="11" style="22" bestFit="1" customWidth="1"/>
    <col min="12809" max="12810" width="4.42578125" style="22" bestFit="1" customWidth="1"/>
    <col min="12811" max="12811" width="5.5703125" style="22" bestFit="1" customWidth="1"/>
    <col min="12812" max="12812" width="6.85546875" style="22" bestFit="1" customWidth="1"/>
    <col min="12813" max="12813" width="6.42578125" style="22" bestFit="1" customWidth="1"/>
    <col min="12814" max="12814" width="7" style="22" bestFit="1" customWidth="1"/>
    <col min="12815" max="12815" width="7.42578125" style="22" bestFit="1" customWidth="1"/>
    <col min="12816" max="12816" width="6.5703125" style="22" bestFit="1" customWidth="1"/>
    <col min="12817" max="12818" width="7.5703125" style="22" bestFit="1" customWidth="1"/>
    <col min="12819" max="12819" width="6.140625" style="22" bestFit="1" customWidth="1"/>
    <col min="12820" max="12820" width="5.5703125" style="22" bestFit="1" customWidth="1"/>
    <col min="12821" max="12821" width="6.5703125" style="22" bestFit="1" customWidth="1"/>
    <col min="12822" max="12822" width="7.140625" style="22" bestFit="1" customWidth="1"/>
    <col min="12823" max="12823" width="8.42578125" style="22" bestFit="1" customWidth="1"/>
    <col min="12824" max="12824" width="8" style="22" bestFit="1" customWidth="1"/>
    <col min="12825" max="12825" width="9.5703125" style="22" bestFit="1" customWidth="1"/>
    <col min="12826" max="12826" width="6.5703125" style="22" customWidth="1"/>
    <col min="12827" max="12827" width="4.85546875" style="22" customWidth="1"/>
    <col min="12828" max="12828" width="8" style="22" bestFit="1" customWidth="1"/>
    <col min="12829" max="12829" width="6.42578125" style="22" bestFit="1" customWidth="1"/>
    <col min="12830" max="12831" width="6.5703125" style="22" bestFit="1" customWidth="1"/>
    <col min="12832" max="12832" width="8.5703125" style="22" bestFit="1" customWidth="1"/>
    <col min="12833" max="12833" width="7.42578125" style="22" customWidth="1"/>
    <col min="12834" max="12834" width="5.42578125" style="22" customWidth="1"/>
    <col min="12835" max="12836" width="5.5703125" style="22" customWidth="1"/>
    <col min="12837" max="12837" width="5.85546875" style="22" customWidth="1"/>
    <col min="12838" max="12838" width="7.85546875" style="22" customWidth="1"/>
    <col min="12839" max="13062" width="9.140625" style="22"/>
    <col min="13063" max="13063" width="3.85546875" style="22" customWidth="1"/>
    <col min="13064" max="13064" width="11" style="22" bestFit="1" customWidth="1"/>
    <col min="13065" max="13066" width="4.42578125" style="22" bestFit="1" customWidth="1"/>
    <col min="13067" max="13067" width="5.5703125" style="22" bestFit="1" customWidth="1"/>
    <col min="13068" max="13068" width="6.85546875" style="22" bestFit="1" customWidth="1"/>
    <col min="13069" max="13069" width="6.42578125" style="22" bestFit="1" customWidth="1"/>
    <col min="13070" max="13070" width="7" style="22" bestFit="1" customWidth="1"/>
    <col min="13071" max="13071" width="7.42578125" style="22" bestFit="1" customWidth="1"/>
    <col min="13072" max="13072" width="6.5703125" style="22" bestFit="1" customWidth="1"/>
    <col min="13073" max="13074" width="7.5703125" style="22" bestFit="1" customWidth="1"/>
    <col min="13075" max="13075" width="6.140625" style="22" bestFit="1" customWidth="1"/>
    <col min="13076" max="13076" width="5.5703125" style="22" bestFit="1" customWidth="1"/>
    <col min="13077" max="13077" width="6.5703125" style="22" bestFit="1" customWidth="1"/>
    <col min="13078" max="13078" width="7.140625" style="22" bestFit="1" customWidth="1"/>
    <col min="13079" max="13079" width="8.42578125" style="22" bestFit="1" customWidth="1"/>
    <col min="13080" max="13080" width="8" style="22" bestFit="1" customWidth="1"/>
    <col min="13081" max="13081" width="9.5703125" style="22" bestFit="1" customWidth="1"/>
    <col min="13082" max="13082" width="6.5703125" style="22" customWidth="1"/>
    <col min="13083" max="13083" width="4.85546875" style="22" customWidth="1"/>
    <col min="13084" max="13084" width="8" style="22" bestFit="1" customWidth="1"/>
    <col min="13085" max="13085" width="6.42578125" style="22" bestFit="1" customWidth="1"/>
    <col min="13086" max="13087" width="6.5703125" style="22" bestFit="1" customWidth="1"/>
    <col min="13088" max="13088" width="8.5703125" style="22" bestFit="1" customWidth="1"/>
    <col min="13089" max="13089" width="7.42578125" style="22" customWidth="1"/>
    <col min="13090" max="13090" width="5.42578125" style="22" customWidth="1"/>
    <col min="13091" max="13092" width="5.5703125" style="22" customWidth="1"/>
    <col min="13093" max="13093" width="5.85546875" style="22" customWidth="1"/>
    <col min="13094" max="13094" width="7.85546875" style="22" customWidth="1"/>
    <col min="13095" max="13318" width="9.140625" style="22"/>
    <col min="13319" max="13319" width="3.85546875" style="22" customWidth="1"/>
    <col min="13320" max="13320" width="11" style="22" bestFit="1" customWidth="1"/>
    <col min="13321" max="13322" width="4.42578125" style="22" bestFit="1" customWidth="1"/>
    <col min="13323" max="13323" width="5.5703125" style="22" bestFit="1" customWidth="1"/>
    <col min="13324" max="13324" width="6.85546875" style="22" bestFit="1" customWidth="1"/>
    <col min="13325" max="13325" width="6.42578125" style="22" bestFit="1" customWidth="1"/>
    <col min="13326" max="13326" width="7" style="22" bestFit="1" customWidth="1"/>
    <col min="13327" max="13327" width="7.42578125" style="22" bestFit="1" customWidth="1"/>
    <col min="13328" max="13328" width="6.5703125" style="22" bestFit="1" customWidth="1"/>
    <col min="13329" max="13330" width="7.5703125" style="22" bestFit="1" customWidth="1"/>
    <col min="13331" max="13331" width="6.140625" style="22" bestFit="1" customWidth="1"/>
    <col min="13332" max="13332" width="5.5703125" style="22" bestFit="1" customWidth="1"/>
    <col min="13333" max="13333" width="6.5703125" style="22" bestFit="1" customWidth="1"/>
    <col min="13334" max="13334" width="7.140625" style="22" bestFit="1" customWidth="1"/>
    <col min="13335" max="13335" width="8.42578125" style="22" bestFit="1" customWidth="1"/>
    <col min="13336" max="13336" width="8" style="22" bestFit="1" customWidth="1"/>
    <col min="13337" max="13337" width="9.5703125" style="22" bestFit="1" customWidth="1"/>
    <col min="13338" max="13338" width="6.5703125" style="22" customWidth="1"/>
    <col min="13339" max="13339" width="4.85546875" style="22" customWidth="1"/>
    <col min="13340" max="13340" width="8" style="22" bestFit="1" customWidth="1"/>
    <col min="13341" max="13341" width="6.42578125" style="22" bestFit="1" customWidth="1"/>
    <col min="13342" max="13343" width="6.5703125" style="22" bestFit="1" customWidth="1"/>
    <col min="13344" max="13344" width="8.5703125" style="22" bestFit="1" customWidth="1"/>
    <col min="13345" max="13345" width="7.42578125" style="22" customWidth="1"/>
    <col min="13346" max="13346" width="5.42578125" style="22" customWidth="1"/>
    <col min="13347" max="13348" width="5.5703125" style="22" customWidth="1"/>
    <col min="13349" max="13349" width="5.85546875" style="22" customWidth="1"/>
    <col min="13350" max="13350" width="7.85546875" style="22" customWidth="1"/>
    <col min="13351" max="13574" width="9.140625" style="22"/>
    <col min="13575" max="13575" width="3.85546875" style="22" customWidth="1"/>
    <col min="13576" max="13576" width="11" style="22" bestFit="1" customWidth="1"/>
    <col min="13577" max="13578" width="4.42578125" style="22" bestFit="1" customWidth="1"/>
    <col min="13579" max="13579" width="5.5703125" style="22" bestFit="1" customWidth="1"/>
    <col min="13580" max="13580" width="6.85546875" style="22" bestFit="1" customWidth="1"/>
    <col min="13581" max="13581" width="6.42578125" style="22" bestFit="1" customWidth="1"/>
    <col min="13582" max="13582" width="7" style="22" bestFit="1" customWidth="1"/>
    <col min="13583" max="13583" width="7.42578125" style="22" bestFit="1" customWidth="1"/>
    <col min="13584" max="13584" width="6.5703125" style="22" bestFit="1" customWidth="1"/>
    <col min="13585" max="13586" width="7.5703125" style="22" bestFit="1" customWidth="1"/>
    <col min="13587" max="13587" width="6.140625" style="22" bestFit="1" customWidth="1"/>
    <col min="13588" max="13588" width="5.5703125" style="22" bestFit="1" customWidth="1"/>
    <col min="13589" max="13589" width="6.5703125" style="22" bestFit="1" customWidth="1"/>
    <col min="13590" max="13590" width="7.140625" style="22" bestFit="1" customWidth="1"/>
    <col min="13591" max="13591" width="8.42578125" style="22" bestFit="1" customWidth="1"/>
    <col min="13592" max="13592" width="8" style="22" bestFit="1" customWidth="1"/>
    <col min="13593" max="13593" width="9.5703125" style="22" bestFit="1" customWidth="1"/>
    <col min="13594" max="13594" width="6.5703125" style="22" customWidth="1"/>
    <col min="13595" max="13595" width="4.85546875" style="22" customWidth="1"/>
    <col min="13596" max="13596" width="8" style="22" bestFit="1" customWidth="1"/>
    <col min="13597" max="13597" width="6.42578125" style="22" bestFit="1" customWidth="1"/>
    <col min="13598" max="13599" width="6.5703125" style="22" bestFit="1" customWidth="1"/>
    <col min="13600" max="13600" width="8.5703125" style="22" bestFit="1" customWidth="1"/>
    <col min="13601" max="13601" width="7.42578125" style="22" customWidth="1"/>
    <col min="13602" max="13602" width="5.42578125" style="22" customWidth="1"/>
    <col min="13603" max="13604" width="5.5703125" style="22" customWidth="1"/>
    <col min="13605" max="13605" width="5.85546875" style="22" customWidth="1"/>
    <col min="13606" max="13606" width="7.85546875" style="22" customWidth="1"/>
    <col min="13607" max="13830" width="9.140625" style="22"/>
    <col min="13831" max="13831" width="3.85546875" style="22" customWidth="1"/>
    <col min="13832" max="13832" width="11" style="22" bestFit="1" customWidth="1"/>
    <col min="13833" max="13834" width="4.42578125" style="22" bestFit="1" customWidth="1"/>
    <col min="13835" max="13835" width="5.5703125" style="22" bestFit="1" customWidth="1"/>
    <col min="13836" max="13836" width="6.85546875" style="22" bestFit="1" customWidth="1"/>
    <col min="13837" max="13837" width="6.42578125" style="22" bestFit="1" customWidth="1"/>
    <col min="13838" max="13838" width="7" style="22" bestFit="1" customWidth="1"/>
    <col min="13839" max="13839" width="7.42578125" style="22" bestFit="1" customWidth="1"/>
    <col min="13840" max="13840" width="6.5703125" style="22" bestFit="1" customWidth="1"/>
    <col min="13841" max="13842" width="7.5703125" style="22" bestFit="1" customWidth="1"/>
    <col min="13843" max="13843" width="6.140625" style="22" bestFit="1" customWidth="1"/>
    <col min="13844" max="13844" width="5.5703125" style="22" bestFit="1" customWidth="1"/>
    <col min="13845" max="13845" width="6.5703125" style="22" bestFit="1" customWidth="1"/>
    <col min="13846" max="13846" width="7.140625" style="22" bestFit="1" customWidth="1"/>
    <col min="13847" max="13847" width="8.42578125" style="22" bestFit="1" customWidth="1"/>
    <col min="13848" max="13848" width="8" style="22" bestFit="1" customWidth="1"/>
    <col min="13849" max="13849" width="9.5703125" style="22" bestFit="1" customWidth="1"/>
    <col min="13850" max="13850" width="6.5703125" style="22" customWidth="1"/>
    <col min="13851" max="13851" width="4.85546875" style="22" customWidth="1"/>
    <col min="13852" max="13852" width="8" style="22" bestFit="1" customWidth="1"/>
    <col min="13853" max="13853" width="6.42578125" style="22" bestFit="1" customWidth="1"/>
    <col min="13854" max="13855" width="6.5703125" style="22" bestFit="1" customWidth="1"/>
    <col min="13856" max="13856" width="8.5703125" style="22" bestFit="1" customWidth="1"/>
    <col min="13857" max="13857" width="7.42578125" style="22" customWidth="1"/>
    <col min="13858" max="13858" width="5.42578125" style="22" customWidth="1"/>
    <col min="13859" max="13860" width="5.5703125" style="22" customWidth="1"/>
    <col min="13861" max="13861" width="5.85546875" style="22" customWidth="1"/>
    <col min="13862" max="13862" width="7.85546875" style="22" customWidth="1"/>
    <col min="13863" max="14086" width="9.140625" style="22"/>
    <col min="14087" max="14087" width="3.85546875" style="22" customWidth="1"/>
    <col min="14088" max="14088" width="11" style="22" bestFit="1" customWidth="1"/>
    <col min="14089" max="14090" width="4.42578125" style="22" bestFit="1" customWidth="1"/>
    <col min="14091" max="14091" width="5.5703125" style="22" bestFit="1" customWidth="1"/>
    <col min="14092" max="14092" width="6.85546875" style="22" bestFit="1" customWidth="1"/>
    <col min="14093" max="14093" width="6.42578125" style="22" bestFit="1" customWidth="1"/>
    <col min="14094" max="14094" width="7" style="22" bestFit="1" customWidth="1"/>
    <col min="14095" max="14095" width="7.42578125" style="22" bestFit="1" customWidth="1"/>
    <col min="14096" max="14096" width="6.5703125" style="22" bestFit="1" customWidth="1"/>
    <col min="14097" max="14098" width="7.5703125" style="22" bestFit="1" customWidth="1"/>
    <col min="14099" max="14099" width="6.140625" style="22" bestFit="1" customWidth="1"/>
    <col min="14100" max="14100" width="5.5703125" style="22" bestFit="1" customWidth="1"/>
    <col min="14101" max="14101" width="6.5703125" style="22" bestFit="1" customWidth="1"/>
    <col min="14102" max="14102" width="7.140625" style="22" bestFit="1" customWidth="1"/>
    <col min="14103" max="14103" width="8.42578125" style="22" bestFit="1" customWidth="1"/>
    <col min="14104" max="14104" width="8" style="22" bestFit="1" customWidth="1"/>
    <col min="14105" max="14105" width="9.5703125" style="22" bestFit="1" customWidth="1"/>
    <col min="14106" max="14106" width="6.5703125" style="22" customWidth="1"/>
    <col min="14107" max="14107" width="4.85546875" style="22" customWidth="1"/>
    <col min="14108" max="14108" width="8" style="22" bestFit="1" customWidth="1"/>
    <col min="14109" max="14109" width="6.42578125" style="22" bestFit="1" customWidth="1"/>
    <col min="14110" max="14111" width="6.5703125" style="22" bestFit="1" customWidth="1"/>
    <col min="14112" max="14112" width="8.5703125" style="22" bestFit="1" customWidth="1"/>
    <col min="14113" max="14113" width="7.42578125" style="22" customWidth="1"/>
    <col min="14114" max="14114" width="5.42578125" style="22" customWidth="1"/>
    <col min="14115" max="14116" width="5.5703125" style="22" customWidth="1"/>
    <col min="14117" max="14117" width="5.85546875" style="22" customWidth="1"/>
    <col min="14118" max="14118" width="7.85546875" style="22" customWidth="1"/>
    <col min="14119" max="14342" width="9.140625" style="22"/>
    <col min="14343" max="14343" width="3.85546875" style="22" customWidth="1"/>
    <col min="14344" max="14344" width="11" style="22" bestFit="1" customWidth="1"/>
    <col min="14345" max="14346" width="4.42578125" style="22" bestFit="1" customWidth="1"/>
    <col min="14347" max="14347" width="5.5703125" style="22" bestFit="1" customWidth="1"/>
    <col min="14348" max="14348" width="6.85546875" style="22" bestFit="1" customWidth="1"/>
    <col min="14349" max="14349" width="6.42578125" style="22" bestFit="1" customWidth="1"/>
    <col min="14350" max="14350" width="7" style="22" bestFit="1" customWidth="1"/>
    <col min="14351" max="14351" width="7.42578125" style="22" bestFit="1" customWidth="1"/>
    <col min="14352" max="14352" width="6.5703125" style="22" bestFit="1" customWidth="1"/>
    <col min="14353" max="14354" width="7.5703125" style="22" bestFit="1" customWidth="1"/>
    <col min="14355" max="14355" width="6.140625" style="22" bestFit="1" customWidth="1"/>
    <col min="14356" max="14356" width="5.5703125" style="22" bestFit="1" customWidth="1"/>
    <col min="14357" max="14357" width="6.5703125" style="22" bestFit="1" customWidth="1"/>
    <col min="14358" max="14358" width="7.140625" style="22" bestFit="1" customWidth="1"/>
    <col min="14359" max="14359" width="8.42578125" style="22" bestFit="1" customWidth="1"/>
    <col min="14360" max="14360" width="8" style="22" bestFit="1" customWidth="1"/>
    <col min="14361" max="14361" width="9.5703125" style="22" bestFit="1" customWidth="1"/>
    <col min="14362" max="14362" width="6.5703125" style="22" customWidth="1"/>
    <col min="14363" max="14363" width="4.85546875" style="22" customWidth="1"/>
    <col min="14364" max="14364" width="8" style="22" bestFit="1" customWidth="1"/>
    <col min="14365" max="14365" width="6.42578125" style="22" bestFit="1" customWidth="1"/>
    <col min="14366" max="14367" width="6.5703125" style="22" bestFit="1" customWidth="1"/>
    <col min="14368" max="14368" width="8.5703125" style="22" bestFit="1" customWidth="1"/>
    <col min="14369" max="14369" width="7.42578125" style="22" customWidth="1"/>
    <col min="14370" max="14370" width="5.42578125" style="22" customWidth="1"/>
    <col min="14371" max="14372" width="5.5703125" style="22" customWidth="1"/>
    <col min="14373" max="14373" width="5.85546875" style="22" customWidth="1"/>
    <col min="14374" max="14374" width="7.85546875" style="22" customWidth="1"/>
    <col min="14375" max="14598" width="9.140625" style="22"/>
    <col min="14599" max="14599" width="3.85546875" style="22" customWidth="1"/>
    <col min="14600" max="14600" width="11" style="22" bestFit="1" customWidth="1"/>
    <col min="14601" max="14602" width="4.42578125" style="22" bestFit="1" customWidth="1"/>
    <col min="14603" max="14603" width="5.5703125" style="22" bestFit="1" customWidth="1"/>
    <col min="14604" max="14604" width="6.85546875" style="22" bestFit="1" customWidth="1"/>
    <col min="14605" max="14605" width="6.42578125" style="22" bestFit="1" customWidth="1"/>
    <col min="14606" max="14606" width="7" style="22" bestFit="1" customWidth="1"/>
    <col min="14607" max="14607" width="7.42578125" style="22" bestFit="1" customWidth="1"/>
    <col min="14608" max="14608" width="6.5703125" style="22" bestFit="1" customWidth="1"/>
    <col min="14609" max="14610" width="7.5703125" style="22" bestFit="1" customWidth="1"/>
    <col min="14611" max="14611" width="6.140625" style="22" bestFit="1" customWidth="1"/>
    <col min="14612" max="14612" width="5.5703125" style="22" bestFit="1" customWidth="1"/>
    <col min="14613" max="14613" width="6.5703125" style="22" bestFit="1" customWidth="1"/>
    <col min="14614" max="14614" width="7.140625" style="22" bestFit="1" customWidth="1"/>
    <col min="14615" max="14615" width="8.42578125" style="22" bestFit="1" customWidth="1"/>
    <col min="14616" max="14616" width="8" style="22" bestFit="1" customWidth="1"/>
    <col min="14617" max="14617" width="9.5703125" style="22" bestFit="1" customWidth="1"/>
    <col min="14618" max="14618" width="6.5703125" style="22" customWidth="1"/>
    <col min="14619" max="14619" width="4.85546875" style="22" customWidth="1"/>
    <col min="14620" max="14620" width="8" style="22" bestFit="1" customWidth="1"/>
    <col min="14621" max="14621" width="6.42578125" style="22" bestFit="1" customWidth="1"/>
    <col min="14622" max="14623" width="6.5703125" style="22" bestFit="1" customWidth="1"/>
    <col min="14624" max="14624" width="8.5703125" style="22" bestFit="1" customWidth="1"/>
    <col min="14625" max="14625" width="7.42578125" style="22" customWidth="1"/>
    <col min="14626" max="14626" width="5.42578125" style="22" customWidth="1"/>
    <col min="14627" max="14628" width="5.5703125" style="22" customWidth="1"/>
    <col min="14629" max="14629" width="5.85546875" style="22" customWidth="1"/>
    <col min="14630" max="14630" width="7.85546875" style="22" customWidth="1"/>
    <col min="14631" max="14854" width="9.140625" style="22"/>
    <col min="14855" max="14855" width="3.85546875" style="22" customWidth="1"/>
    <col min="14856" max="14856" width="11" style="22" bestFit="1" customWidth="1"/>
    <col min="14857" max="14858" width="4.42578125" style="22" bestFit="1" customWidth="1"/>
    <col min="14859" max="14859" width="5.5703125" style="22" bestFit="1" customWidth="1"/>
    <col min="14860" max="14860" width="6.85546875" style="22" bestFit="1" customWidth="1"/>
    <col min="14861" max="14861" width="6.42578125" style="22" bestFit="1" customWidth="1"/>
    <col min="14862" max="14862" width="7" style="22" bestFit="1" customWidth="1"/>
    <col min="14863" max="14863" width="7.42578125" style="22" bestFit="1" customWidth="1"/>
    <col min="14864" max="14864" width="6.5703125" style="22" bestFit="1" customWidth="1"/>
    <col min="14865" max="14866" width="7.5703125" style="22" bestFit="1" customWidth="1"/>
    <col min="14867" max="14867" width="6.140625" style="22" bestFit="1" customWidth="1"/>
    <col min="14868" max="14868" width="5.5703125" style="22" bestFit="1" customWidth="1"/>
    <col min="14869" max="14869" width="6.5703125" style="22" bestFit="1" customWidth="1"/>
    <col min="14870" max="14870" width="7.140625" style="22" bestFit="1" customWidth="1"/>
    <col min="14871" max="14871" width="8.42578125" style="22" bestFit="1" customWidth="1"/>
    <col min="14872" max="14872" width="8" style="22" bestFit="1" customWidth="1"/>
    <col min="14873" max="14873" width="9.5703125" style="22" bestFit="1" customWidth="1"/>
    <col min="14874" max="14874" width="6.5703125" style="22" customWidth="1"/>
    <col min="14875" max="14875" width="4.85546875" style="22" customWidth="1"/>
    <col min="14876" max="14876" width="8" style="22" bestFit="1" customWidth="1"/>
    <col min="14877" max="14877" width="6.42578125" style="22" bestFit="1" customWidth="1"/>
    <col min="14878" max="14879" width="6.5703125" style="22" bestFit="1" customWidth="1"/>
    <col min="14880" max="14880" width="8.5703125" style="22" bestFit="1" customWidth="1"/>
    <col min="14881" max="14881" width="7.42578125" style="22" customWidth="1"/>
    <col min="14882" max="14882" width="5.42578125" style="22" customWidth="1"/>
    <col min="14883" max="14884" width="5.5703125" style="22" customWidth="1"/>
    <col min="14885" max="14885" width="5.85546875" style="22" customWidth="1"/>
    <col min="14886" max="14886" width="7.85546875" style="22" customWidth="1"/>
    <col min="14887" max="15110" width="9.140625" style="22"/>
    <col min="15111" max="15111" width="3.85546875" style="22" customWidth="1"/>
    <col min="15112" max="15112" width="11" style="22" bestFit="1" customWidth="1"/>
    <col min="15113" max="15114" width="4.42578125" style="22" bestFit="1" customWidth="1"/>
    <col min="15115" max="15115" width="5.5703125" style="22" bestFit="1" customWidth="1"/>
    <col min="15116" max="15116" width="6.85546875" style="22" bestFit="1" customWidth="1"/>
    <col min="15117" max="15117" width="6.42578125" style="22" bestFit="1" customWidth="1"/>
    <col min="15118" max="15118" width="7" style="22" bestFit="1" customWidth="1"/>
    <col min="15119" max="15119" width="7.42578125" style="22" bestFit="1" customWidth="1"/>
    <col min="15120" max="15120" width="6.5703125" style="22" bestFit="1" customWidth="1"/>
    <col min="15121" max="15122" width="7.5703125" style="22" bestFit="1" customWidth="1"/>
    <col min="15123" max="15123" width="6.140625" style="22" bestFit="1" customWidth="1"/>
    <col min="15124" max="15124" width="5.5703125" style="22" bestFit="1" customWidth="1"/>
    <col min="15125" max="15125" width="6.5703125" style="22" bestFit="1" customWidth="1"/>
    <col min="15126" max="15126" width="7.140625" style="22" bestFit="1" customWidth="1"/>
    <col min="15127" max="15127" width="8.42578125" style="22" bestFit="1" customWidth="1"/>
    <col min="15128" max="15128" width="8" style="22" bestFit="1" customWidth="1"/>
    <col min="15129" max="15129" width="9.5703125" style="22" bestFit="1" customWidth="1"/>
    <col min="15130" max="15130" width="6.5703125" style="22" customWidth="1"/>
    <col min="15131" max="15131" width="4.85546875" style="22" customWidth="1"/>
    <col min="15132" max="15132" width="8" style="22" bestFit="1" customWidth="1"/>
    <col min="15133" max="15133" width="6.42578125" style="22" bestFit="1" customWidth="1"/>
    <col min="15134" max="15135" width="6.5703125" style="22" bestFit="1" customWidth="1"/>
    <col min="15136" max="15136" width="8.5703125" style="22" bestFit="1" customWidth="1"/>
    <col min="15137" max="15137" width="7.42578125" style="22" customWidth="1"/>
    <col min="15138" max="15138" width="5.42578125" style="22" customWidth="1"/>
    <col min="15139" max="15140" width="5.5703125" style="22" customWidth="1"/>
    <col min="15141" max="15141" width="5.85546875" style="22" customWidth="1"/>
    <col min="15142" max="15142" width="7.85546875" style="22" customWidth="1"/>
    <col min="15143" max="15366" width="9.140625" style="22"/>
    <col min="15367" max="15367" width="3.85546875" style="22" customWidth="1"/>
    <col min="15368" max="15368" width="11" style="22" bestFit="1" customWidth="1"/>
    <col min="15369" max="15370" width="4.42578125" style="22" bestFit="1" customWidth="1"/>
    <col min="15371" max="15371" width="5.5703125" style="22" bestFit="1" customWidth="1"/>
    <col min="15372" max="15372" width="6.85546875" style="22" bestFit="1" customWidth="1"/>
    <col min="15373" max="15373" width="6.42578125" style="22" bestFit="1" customWidth="1"/>
    <col min="15374" max="15374" width="7" style="22" bestFit="1" customWidth="1"/>
    <col min="15375" max="15375" width="7.42578125" style="22" bestFit="1" customWidth="1"/>
    <col min="15376" max="15376" width="6.5703125" style="22" bestFit="1" customWidth="1"/>
    <col min="15377" max="15378" width="7.5703125" style="22" bestFit="1" customWidth="1"/>
    <col min="15379" max="15379" width="6.140625" style="22" bestFit="1" customWidth="1"/>
    <col min="15380" max="15380" width="5.5703125" style="22" bestFit="1" customWidth="1"/>
    <col min="15381" max="15381" width="6.5703125" style="22" bestFit="1" customWidth="1"/>
    <col min="15382" max="15382" width="7.140625" style="22" bestFit="1" customWidth="1"/>
    <col min="15383" max="15383" width="8.42578125" style="22" bestFit="1" customWidth="1"/>
    <col min="15384" max="15384" width="8" style="22" bestFit="1" customWidth="1"/>
    <col min="15385" max="15385" width="9.5703125" style="22" bestFit="1" customWidth="1"/>
    <col min="15386" max="15386" width="6.5703125" style="22" customWidth="1"/>
    <col min="15387" max="15387" width="4.85546875" style="22" customWidth="1"/>
    <col min="15388" max="15388" width="8" style="22" bestFit="1" customWidth="1"/>
    <col min="15389" max="15389" width="6.42578125" style="22" bestFit="1" customWidth="1"/>
    <col min="15390" max="15391" width="6.5703125" style="22" bestFit="1" customWidth="1"/>
    <col min="15392" max="15392" width="8.5703125" style="22" bestFit="1" customWidth="1"/>
    <col min="15393" max="15393" width="7.42578125" style="22" customWidth="1"/>
    <col min="15394" max="15394" width="5.42578125" style="22" customWidth="1"/>
    <col min="15395" max="15396" width="5.5703125" style="22" customWidth="1"/>
    <col min="15397" max="15397" width="5.85546875" style="22" customWidth="1"/>
    <col min="15398" max="15398" width="7.85546875" style="22" customWidth="1"/>
    <col min="15399" max="15622" width="9.140625" style="22"/>
    <col min="15623" max="15623" width="3.85546875" style="22" customWidth="1"/>
    <col min="15624" max="15624" width="11" style="22" bestFit="1" customWidth="1"/>
    <col min="15625" max="15626" width="4.42578125" style="22" bestFit="1" customWidth="1"/>
    <col min="15627" max="15627" width="5.5703125" style="22" bestFit="1" customWidth="1"/>
    <col min="15628" max="15628" width="6.85546875" style="22" bestFit="1" customWidth="1"/>
    <col min="15629" max="15629" width="6.42578125" style="22" bestFit="1" customWidth="1"/>
    <col min="15630" max="15630" width="7" style="22" bestFit="1" customWidth="1"/>
    <col min="15631" max="15631" width="7.42578125" style="22" bestFit="1" customWidth="1"/>
    <col min="15632" max="15632" width="6.5703125" style="22" bestFit="1" customWidth="1"/>
    <col min="15633" max="15634" width="7.5703125" style="22" bestFit="1" customWidth="1"/>
    <col min="15635" max="15635" width="6.140625" style="22" bestFit="1" customWidth="1"/>
    <col min="15636" max="15636" width="5.5703125" style="22" bestFit="1" customWidth="1"/>
    <col min="15637" max="15637" width="6.5703125" style="22" bestFit="1" customWidth="1"/>
    <col min="15638" max="15638" width="7.140625" style="22" bestFit="1" customWidth="1"/>
    <col min="15639" max="15639" width="8.42578125" style="22" bestFit="1" customWidth="1"/>
    <col min="15640" max="15640" width="8" style="22" bestFit="1" customWidth="1"/>
    <col min="15641" max="15641" width="9.5703125" style="22" bestFit="1" customWidth="1"/>
    <col min="15642" max="15642" width="6.5703125" style="22" customWidth="1"/>
    <col min="15643" max="15643" width="4.85546875" style="22" customWidth="1"/>
    <col min="15644" max="15644" width="8" style="22" bestFit="1" customWidth="1"/>
    <col min="15645" max="15645" width="6.42578125" style="22" bestFit="1" customWidth="1"/>
    <col min="15646" max="15647" width="6.5703125" style="22" bestFit="1" customWidth="1"/>
    <col min="15648" max="15648" width="8.5703125" style="22" bestFit="1" customWidth="1"/>
    <col min="15649" max="15649" width="7.42578125" style="22" customWidth="1"/>
    <col min="15650" max="15650" width="5.42578125" style="22" customWidth="1"/>
    <col min="15651" max="15652" width="5.5703125" style="22" customWidth="1"/>
    <col min="15653" max="15653" width="5.85546875" style="22" customWidth="1"/>
    <col min="15654" max="15654" width="7.85546875" style="22" customWidth="1"/>
    <col min="15655" max="15878" width="9.140625" style="22"/>
    <col min="15879" max="15879" width="3.85546875" style="22" customWidth="1"/>
    <col min="15880" max="15880" width="11" style="22" bestFit="1" customWidth="1"/>
    <col min="15881" max="15882" width="4.42578125" style="22" bestFit="1" customWidth="1"/>
    <col min="15883" max="15883" width="5.5703125" style="22" bestFit="1" customWidth="1"/>
    <col min="15884" max="15884" width="6.85546875" style="22" bestFit="1" customWidth="1"/>
    <col min="15885" max="15885" width="6.42578125" style="22" bestFit="1" customWidth="1"/>
    <col min="15886" max="15886" width="7" style="22" bestFit="1" customWidth="1"/>
    <col min="15887" max="15887" width="7.42578125" style="22" bestFit="1" customWidth="1"/>
    <col min="15888" max="15888" width="6.5703125" style="22" bestFit="1" customWidth="1"/>
    <col min="15889" max="15890" width="7.5703125" style="22" bestFit="1" customWidth="1"/>
    <col min="15891" max="15891" width="6.140625" style="22" bestFit="1" customWidth="1"/>
    <col min="15892" max="15892" width="5.5703125" style="22" bestFit="1" customWidth="1"/>
    <col min="15893" max="15893" width="6.5703125" style="22" bestFit="1" customWidth="1"/>
    <col min="15894" max="15894" width="7.140625" style="22" bestFit="1" customWidth="1"/>
    <col min="15895" max="15895" width="8.42578125" style="22" bestFit="1" customWidth="1"/>
    <col min="15896" max="15896" width="8" style="22" bestFit="1" customWidth="1"/>
    <col min="15897" max="15897" width="9.5703125" style="22" bestFit="1" customWidth="1"/>
    <col min="15898" max="15898" width="6.5703125" style="22" customWidth="1"/>
    <col min="15899" max="15899" width="4.85546875" style="22" customWidth="1"/>
    <col min="15900" max="15900" width="8" style="22" bestFit="1" customWidth="1"/>
    <col min="15901" max="15901" width="6.42578125" style="22" bestFit="1" customWidth="1"/>
    <col min="15902" max="15903" width="6.5703125" style="22" bestFit="1" customWidth="1"/>
    <col min="15904" max="15904" width="8.5703125" style="22" bestFit="1" customWidth="1"/>
    <col min="15905" max="15905" width="7.42578125" style="22" customWidth="1"/>
    <col min="15906" max="15906" width="5.42578125" style="22" customWidth="1"/>
    <col min="15907" max="15908" width="5.5703125" style="22" customWidth="1"/>
    <col min="15909" max="15909" width="5.85546875" style="22" customWidth="1"/>
    <col min="15910" max="15910" width="7.85546875" style="22" customWidth="1"/>
    <col min="15911" max="16134" width="9.140625" style="22"/>
    <col min="16135" max="16135" width="3.85546875" style="22" customWidth="1"/>
    <col min="16136" max="16136" width="11" style="22" bestFit="1" customWidth="1"/>
    <col min="16137" max="16138" width="4.42578125" style="22" bestFit="1" customWidth="1"/>
    <col min="16139" max="16139" width="5.5703125" style="22" bestFit="1" customWidth="1"/>
    <col min="16140" max="16140" width="6.85546875" style="22" bestFit="1" customWidth="1"/>
    <col min="16141" max="16141" width="6.42578125" style="22" bestFit="1" customWidth="1"/>
    <col min="16142" max="16142" width="7" style="22" bestFit="1" customWidth="1"/>
    <col min="16143" max="16143" width="7.42578125" style="22" bestFit="1" customWidth="1"/>
    <col min="16144" max="16144" width="6.5703125" style="22" bestFit="1" customWidth="1"/>
    <col min="16145" max="16146" width="7.5703125" style="22" bestFit="1" customWidth="1"/>
    <col min="16147" max="16147" width="6.140625" style="22" bestFit="1" customWidth="1"/>
    <col min="16148" max="16148" width="5.5703125" style="22" bestFit="1" customWidth="1"/>
    <col min="16149" max="16149" width="6.5703125" style="22" bestFit="1" customWidth="1"/>
    <col min="16150" max="16150" width="7.140625" style="22" bestFit="1" customWidth="1"/>
    <col min="16151" max="16151" width="8.42578125" style="22" bestFit="1" customWidth="1"/>
    <col min="16152" max="16152" width="8" style="22" bestFit="1" customWidth="1"/>
    <col min="16153" max="16153" width="9.5703125" style="22" bestFit="1" customWidth="1"/>
    <col min="16154" max="16154" width="6.5703125" style="22" customWidth="1"/>
    <col min="16155" max="16155" width="4.85546875" style="22" customWidth="1"/>
    <col min="16156" max="16156" width="8" style="22" bestFit="1" customWidth="1"/>
    <col min="16157" max="16157" width="6.42578125" style="22" bestFit="1" customWidth="1"/>
    <col min="16158" max="16159" width="6.5703125" style="22" bestFit="1" customWidth="1"/>
    <col min="16160" max="16160" width="8.5703125" style="22" bestFit="1" customWidth="1"/>
    <col min="16161" max="16161" width="7.42578125" style="22" customWidth="1"/>
    <col min="16162" max="16162" width="5.42578125" style="22" customWidth="1"/>
    <col min="16163" max="16164" width="5.5703125" style="22" customWidth="1"/>
    <col min="16165" max="16165" width="5.85546875" style="22" customWidth="1"/>
    <col min="16166" max="16166" width="7.85546875" style="22" customWidth="1"/>
    <col min="16167" max="16384" width="9.140625" style="22"/>
  </cols>
  <sheetData>
    <row r="1" spans="1:41" x14ac:dyDescent="0.25">
      <c r="A1" s="19" t="s">
        <v>97</v>
      </c>
      <c r="N1" s="89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F1" s="21" t="s">
        <v>183</v>
      </c>
      <c r="AG1" s="21">
        <v>0</v>
      </c>
      <c r="AH1" s="87">
        <v>43374</v>
      </c>
      <c r="AI1" s="87"/>
      <c r="AJ1" s="88"/>
    </row>
    <row r="2" spans="1:41" x14ac:dyDescent="0.25">
      <c r="A2" s="84" t="s">
        <v>280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6"/>
      <c r="AM2" s="86"/>
      <c r="AN2" s="86"/>
      <c r="AO2" s="86"/>
    </row>
    <row r="3" spans="1:41" s="26" customFormat="1" x14ac:dyDescent="0.25">
      <c r="A3" s="23"/>
      <c r="B3" s="24">
        <v>0</v>
      </c>
      <c r="C3" s="25">
        <v>1</v>
      </c>
      <c r="D3" s="25">
        <v>2</v>
      </c>
      <c r="E3" s="25">
        <v>3</v>
      </c>
      <c r="F3" s="25">
        <v>4</v>
      </c>
      <c r="G3" s="25">
        <v>5</v>
      </c>
      <c r="H3" s="25">
        <v>6</v>
      </c>
      <c r="I3" s="25">
        <v>7</v>
      </c>
      <c r="J3" s="25">
        <v>8</v>
      </c>
      <c r="K3" s="25">
        <v>9</v>
      </c>
      <c r="L3" s="25">
        <v>10</v>
      </c>
      <c r="M3" s="25">
        <v>11</v>
      </c>
      <c r="N3" s="25">
        <v>12</v>
      </c>
      <c r="O3" s="25">
        <v>13</v>
      </c>
      <c r="P3" s="25">
        <v>14</v>
      </c>
      <c r="Q3" s="25">
        <v>15</v>
      </c>
      <c r="R3" s="25">
        <v>16</v>
      </c>
      <c r="S3" s="25">
        <v>17</v>
      </c>
      <c r="T3" s="25">
        <v>18</v>
      </c>
      <c r="U3" s="25">
        <v>19</v>
      </c>
      <c r="V3" s="25">
        <v>20</v>
      </c>
      <c r="W3" s="25">
        <v>21</v>
      </c>
      <c r="X3" s="25">
        <v>22</v>
      </c>
      <c r="Y3" s="25">
        <v>23</v>
      </c>
      <c r="Z3" s="25">
        <v>24</v>
      </c>
      <c r="AA3" s="25">
        <v>25</v>
      </c>
      <c r="AB3" s="25">
        <v>26</v>
      </c>
      <c r="AC3" s="25">
        <v>27</v>
      </c>
      <c r="AD3" s="25">
        <v>28</v>
      </c>
      <c r="AE3" s="25">
        <v>29</v>
      </c>
      <c r="AF3" s="25">
        <v>30</v>
      </c>
      <c r="AG3" s="25">
        <v>31</v>
      </c>
      <c r="AH3" s="25">
        <v>32</v>
      </c>
      <c r="AI3" s="25">
        <v>33</v>
      </c>
      <c r="AJ3" s="25">
        <v>34</v>
      </c>
      <c r="AK3" s="25">
        <v>35</v>
      </c>
      <c r="AL3" s="25">
        <v>36</v>
      </c>
      <c r="AM3" s="25">
        <v>37</v>
      </c>
      <c r="AN3" s="25">
        <v>38</v>
      </c>
      <c r="AO3" s="25">
        <v>39</v>
      </c>
    </row>
    <row r="4" spans="1:41" s="30" customFormat="1" ht="110.25" x14ac:dyDescent="0.25">
      <c r="A4" s="27" t="s">
        <v>17</v>
      </c>
      <c r="B4" s="27" t="s">
        <v>234</v>
      </c>
      <c r="C4" s="28" t="s">
        <v>198</v>
      </c>
      <c r="D4" s="28" t="s">
        <v>199</v>
      </c>
      <c r="E4" s="28" t="s">
        <v>32</v>
      </c>
      <c r="F4" s="27" t="s">
        <v>200</v>
      </c>
      <c r="G4" s="27" t="s">
        <v>201</v>
      </c>
      <c r="H4" s="27" t="s">
        <v>202</v>
      </c>
      <c r="I4" s="27" t="s">
        <v>203</v>
      </c>
      <c r="J4" s="27" t="s">
        <v>204</v>
      </c>
      <c r="K4" s="27" t="s">
        <v>205</v>
      </c>
      <c r="L4" s="27" t="s">
        <v>206</v>
      </c>
      <c r="M4" s="27" t="s">
        <v>207</v>
      </c>
      <c r="N4" s="27" t="s">
        <v>208</v>
      </c>
      <c r="O4" s="27" t="s">
        <v>209</v>
      </c>
      <c r="P4" s="27" t="s">
        <v>210</v>
      </c>
      <c r="Q4" s="27" t="s">
        <v>211</v>
      </c>
      <c r="R4" s="27" t="s">
        <v>229</v>
      </c>
      <c r="S4" s="27" t="s">
        <v>230</v>
      </c>
      <c r="T4" s="27" t="s">
        <v>231</v>
      </c>
      <c r="U4" s="27" t="s">
        <v>232</v>
      </c>
      <c r="V4" s="27" t="s">
        <v>212</v>
      </c>
      <c r="W4" s="27" t="s">
        <v>213</v>
      </c>
      <c r="X4" s="27" t="s">
        <v>238</v>
      </c>
      <c r="Y4" s="27" t="s">
        <v>239</v>
      </c>
      <c r="Z4" s="27" t="s">
        <v>214</v>
      </c>
      <c r="AA4" s="27" t="s">
        <v>215</v>
      </c>
      <c r="AB4" s="27" t="s">
        <v>216</v>
      </c>
      <c r="AC4" s="27" t="s">
        <v>217</v>
      </c>
      <c r="AD4" s="27" t="s">
        <v>218</v>
      </c>
      <c r="AE4" s="27" t="s">
        <v>219</v>
      </c>
      <c r="AF4" s="29" t="s">
        <v>220</v>
      </c>
      <c r="AG4" s="29" t="s">
        <v>221</v>
      </c>
      <c r="AH4" s="29" t="s">
        <v>222</v>
      </c>
      <c r="AI4" s="29" t="s">
        <v>244</v>
      </c>
      <c r="AJ4" s="29" t="s">
        <v>223</v>
      </c>
      <c r="AK4" s="29" t="s">
        <v>224</v>
      </c>
      <c r="AL4" s="29" t="s">
        <v>225</v>
      </c>
      <c r="AM4" s="29" t="s">
        <v>226</v>
      </c>
      <c r="AN4" s="29" t="s">
        <v>227</v>
      </c>
      <c r="AO4" s="29" t="s">
        <v>228</v>
      </c>
    </row>
    <row r="5" spans="1:41" s="38" customFormat="1" ht="126" x14ac:dyDescent="0.25">
      <c r="A5" s="31" t="s">
        <v>45</v>
      </c>
      <c r="B5" s="32"/>
      <c r="C5" s="33"/>
      <c r="D5" s="33"/>
      <c r="E5" s="34" t="s">
        <v>235</v>
      </c>
      <c r="F5" s="34" t="s">
        <v>18</v>
      </c>
      <c r="G5" s="34" t="s">
        <v>19</v>
      </c>
      <c r="H5" s="34" t="s">
        <v>20</v>
      </c>
      <c r="I5" s="34" t="s">
        <v>21</v>
      </c>
      <c r="J5" s="34" t="s">
        <v>22</v>
      </c>
      <c r="K5" s="34" t="s">
        <v>23</v>
      </c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4" t="s">
        <v>182</v>
      </c>
      <c r="X5" s="34" t="s">
        <v>240</v>
      </c>
      <c r="Y5" s="34" t="s">
        <v>241</v>
      </c>
      <c r="Z5" s="34" t="s">
        <v>24</v>
      </c>
      <c r="AA5" s="33"/>
      <c r="AB5" s="33"/>
      <c r="AC5" s="34" t="s">
        <v>25</v>
      </c>
      <c r="AD5" s="33"/>
      <c r="AE5" s="33"/>
      <c r="AF5" s="33"/>
      <c r="AG5" s="35" t="s">
        <v>26</v>
      </c>
      <c r="AH5" s="36"/>
      <c r="AI5" s="45" t="s">
        <v>245</v>
      </c>
      <c r="AJ5" s="33"/>
      <c r="AK5" s="37" t="s">
        <v>27</v>
      </c>
      <c r="AL5" s="37"/>
      <c r="AM5" s="37" t="s">
        <v>28</v>
      </c>
      <c r="AN5" s="37" t="s">
        <v>28</v>
      </c>
      <c r="AO5" s="37" t="s">
        <v>29</v>
      </c>
    </row>
    <row r="6" spans="1:41" s="38" customFormat="1" x14ac:dyDescent="0.25">
      <c r="A6" s="40">
        <v>1</v>
      </c>
      <c r="B6" s="41" t="s">
        <v>279</v>
      </c>
      <c r="C6" s="40">
        <v>145</v>
      </c>
      <c r="D6" s="40">
        <v>165</v>
      </c>
      <c r="E6" s="68">
        <v>1</v>
      </c>
      <c r="F6" s="68">
        <v>1</v>
      </c>
      <c r="G6" s="68">
        <v>1</v>
      </c>
      <c r="H6" s="68">
        <v>1</v>
      </c>
      <c r="I6" s="68">
        <v>2</v>
      </c>
      <c r="J6" s="68">
        <v>2</v>
      </c>
      <c r="K6" s="68">
        <v>1</v>
      </c>
      <c r="L6" s="69">
        <v>4.24E-2</v>
      </c>
      <c r="M6" s="69">
        <v>5.0000000000000001E-3</v>
      </c>
      <c r="N6" s="69">
        <v>85</v>
      </c>
      <c r="O6" s="69">
        <v>12</v>
      </c>
      <c r="P6" s="69">
        <v>0.08</v>
      </c>
      <c r="Q6" s="69">
        <v>0.09</v>
      </c>
      <c r="R6" s="69">
        <v>7</v>
      </c>
      <c r="S6" s="69">
        <v>3</v>
      </c>
      <c r="T6" s="69">
        <v>0</v>
      </c>
      <c r="U6" s="69">
        <v>0</v>
      </c>
      <c r="V6" s="69">
        <v>2.9</v>
      </c>
      <c r="W6" s="70">
        <v>1</v>
      </c>
      <c r="X6" s="70">
        <v>0</v>
      </c>
      <c r="Y6" s="42">
        <v>0</v>
      </c>
      <c r="Z6" s="40">
        <v>0</v>
      </c>
      <c r="AA6" s="40">
        <v>387</v>
      </c>
      <c r="AB6" s="55">
        <f>N6</f>
        <v>85</v>
      </c>
      <c r="AC6" s="55">
        <v>2</v>
      </c>
      <c r="AD6" s="55">
        <v>0</v>
      </c>
      <c r="AE6" s="55">
        <v>49</v>
      </c>
      <c r="AF6" s="55">
        <v>0</v>
      </c>
      <c r="AG6" s="55">
        <v>1</v>
      </c>
      <c r="AH6" s="40">
        <v>14</v>
      </c>
      <c r="AI6" s="40">
        <v>0</v>
      </c>
      <c r="AJ6" s="40">
        <v>0</v>
      </c>
      <c r="AK6" s="40">
        <v>0</v>
      </c>
      <c r="AL6" s="40">
        <v>0.6</v>
      </c>
      <c r="AM6" s="40">
        <v>0</v>
      </c>
      <c r="AN6" s="40">
        <v>0</v>
      </c>
      <c r="AO6" s="40">
        <v>0</v>
      </c>
    </row>
    <row r="7" spans="1:41" s="38" customFormat="1" x14ac:dyDescent="0.25">
      <c r="A7" s="40">
        <v>2</v>
      </c>
      <c r="B7" s="41" t="s">
        <v>278</v>
      </c>
      <c r="C7" s="40">
        <v>165</v>
      </c>
      <c r="D7" s="40">
        <v>190</v>
      </c>
      <c r="E7" s="55">
        <v>1</v>
      </c>
      <c r="F7" s="40">
        <v>1</v>
      </c>
      <c r="G7" s="40">
        <v>1</v>
      </c>
      <c r="H7" s="40">
        <v>1</v>
      </c>
      <c r="I7" s="40">
        <v>2</v>
      </c>
      <c r="J7" s="40">
        <v>2</v>
      </c>
      <c r="K7" s="40">
        <v>1</v>
      </c>
      <c r="L7" s="40">
        <v>4.24E-2</v>
      </c>
      <c r="M7" s="55">
        <v>5.0000000000000001E-3</v>
      </c>
      <c r="N7" s="55">
        <v>85</v>
      </c>
      <c r="O7" s="55">
        <v>12</v>
      </c>
      <c r="P7" s="55">
        <v>0.08</v>
      </c>
      <c r="Q7" s="55">
        <v>0.09</v>
      </c>
      <c r="R7" s="55">
        <v>7</v>
      </c>
      <c r="S7" s="55">
        <v>3</v>
      </c>
      <c r="T7" s="55">
        <v>0</v>
      </c>
      <c r="U7" s="55">
        <v>0</v>
      </c>
      <c r="V7" s="55">
        <v>2.9</v>
      </c>
      <c r="W7" s="71">
        <v>1</v>
      </c>
      <c r="X7" s="71">
        <v>0</v>
      </c>
      <c r="Y7" s="71">
        <v>0</v>
      </c>
      <c r="Z7" s="55">
        <v>0</v>
      </c>
      <c r="AA7" s="55">
        <v>387</v>
      </c>
      <c r="AB7" s="55">
        <f>N7</f>
        <v>85</v>
      </c>
      <c r="AC7" s="55">
        <v>2</v>
      </c>
      <c r="AD7" s="55">
        <v>0</v>
      </c>
      <c r="AE7" s="55">
        <v>48</v>
      </c>
      <c r="AF7" s="55">
        <v>0</v>
      </c>
      <c r="AG7" s="55">
        <v>1</v>
      </c>
      <c r="AH7" s="40">
        <v>13</v>
      </c>
      <c r="AI7" s="40">
        <v>0</v>
      </c>
      <c r="AJ7" s="40">
        <v>0</v>
      </c>
      <c r="AK7" s="40">
        <v>0</v>
      </c>
      <c r="AL7" s="40">
        <v>0.6</v>
      </c>
      <c r="AM7" s="40">
        <v>0</v>
      </c>
      <c r="AN7" s="40">
        <v>0</v>
      </c>
      <c r="AO7" s="40">
        <v>0</v>
      </c>
    </row>
    <row r="8" spans="1:41" s="38" customFormat="1" x14ac:dyDescent="0.25">
      <c r="A8" s="40">
        <v>3</v>
      </c>
      <c r="B8" s="41" t="s">
        <v>286</v>
      </c>
      <c r="C8" s="40">
        <v>190</v>
      </c>
      <c r="D8" s="40">
        <v>210</v>
      </c>
      <c r="E8" s="55">
        <v>1</v>
      </c>
      <c r="F8" s="40">
        <v>1</v>
      </c>
      <c r="G8" s="40">
        <v>1</v>
      </c>
      <c r="H8" s="40">
        <v>1</v>
      </c>
      <c r="I8" s="40">
        <v>2</v>
      </c>
      <c r="J8" s="40">
        <v>2</v>
      </c>
      <c r="K8" s="40">
        <v>1</v>
      </c>
      <c r="L8" s="40">
        <v>4.24E-2</v>
      </c>
      <c r="M8" s="55">
        <v>5.0000000000000001E-3</v>
      </c>
      <c r="N8" s="55">
        <v>85</v>
      </c>
      <c r="O8" s="55">
        <v>12</v>
      </c>
      <c r="P8" s="55">
        <v>0.08</v>
      </c>
      <c r="Q8" s="55">
        <v>0.09</v>
      </c>
      <c r="R8" s="55">
        <v>7</v>
      </c>
      <c r="S8" s="55">
        <v>3</v>
      </c>
      <c r="T8" s="55">
        <v>0</v>
      </c>
      <c r="U8" s="55">
        <v>0</v>
      </c>
      <c r="V8" s="55">
        <v>2.9</v>
      </c>
      <c r="W8" s="71">
        <v>1</v>
      </c>
      <c r="X8" s="71">
        <v>0</v>
      </c>
      <c r="Y8" s="71">
        <v>0</v>
      </c>
      <c r="Z8" s="55">
        <v>0</v>
      </c>
      <c r="AA8" s="55">
        <v>387</v>
      </c>
      <c r="AB8" s="55">
        <f>N8</f>
        <v>85</v>
      </c>
      <c r="AC8" s="55">
        <v>2</v>
      </c>
      <c r="AD8" s="55">
        <v>0</v>
      </c>
      <c r="AE8" s="55">
        <v>47</v>
      </c>
      <c r="AF8" s="55">
        <v>0</v>
      </c>
      <c r="AG8" s="55">
        <v>1</v>
      </c>
      <c r="AH8" s="40">
        <v>12</v>
      </c>
      <c r="AI8" s="40">
        <v>0</v>
      </c>
      <c r="AJ8" s="40">
        <v>0</v>
      </c>
      <c r="AK8" s="40">
        <v>0</v>
      </c>
      <c r="AL8" s="40">
        <v>0.6</v>
      </c>
      <c r="AM8" s="40">
        <v>0</v>
      </c>
      <c r="AN8" s="40">
        <v>0</v>
      </c>
      <c r="AO8" s="40">
        <v>0</v>
      </c>
    </row>
    <row r="9" spans="1:41" s="38" customFormat="1" x14ac:dyDescent="0.25">
      <c r="A9" s="40">
        <v>4</v>
      </c>
      <c r="B9" s="41" t="s">
        <v>300</v>
      </c>
      <c r="C9" s="40">
        <v>190</v>
      </c>
      <c r="D9" s="40">
        <v>210</v>
      </c>
      <c r="E9" s="55">
        <v>1</v>
      </c>
      <c r="F9" s="40">
        <v>1</v>
      </c>
      <c r="G9" s="40">
        <v>1</v>
      </c>
      <c r="H9" s="40">
        <v>1</v>
      </c>
      <c r="I9" s="40">
        <v>2</v>
      </c>
      <c r="J9" s="40">
        <v>2</v>
      </c>
      <c r="K9" s="40">
        <v>1</v>
      </c>
      <c r="L9" s="40">
        <v>4.24E-2</v>
      </c>
      <c r="M9" s="55">
        <v>5.0000000000000001E-3</v>
      </c>
      <c r="N9" s="55">
        <v>85</v>
      </c>
      <c r="O9" s="55">
        <v>12</v>
      </c>
      <c r="P9" s="55">
        <v>0.08</v>
      </c>
      <c r="Q9" s="55">
        <v>0.09</v>
      </c>
      <c r="R9" s="55">
        <v>7</v>
      </c>
      <c r="S9" s="55">
        <v>3</v>
      </c>
      <c r="T9" s="55">
        <v>0</v>
      </c>
      <c r="U9" s="55">
        <v>0</v>
      </c>
      <c r="V9" s="55">
        <v>2.9</v>
      </c>
      <c r="W9" s="71">
        <v>1</v>
      </c>
      <c r="X9" s="71">
        <v>0</v>
      </c>
      <c r="Y9" s="71">
        <v>0</v>
      </c>
      <c r="Z9" s="55">
        <v>0</v>
      </c>
      <c r="AA9" s="55">
        <v>387</v>
      </c>
      <c r="AB9" s="55">
        <f>N9</f>
        <v>85</v>
      </c>
      <c r="AC9" s="55">
        <v>2</v>
      </c>
      <c r="AD9" s="55">
        <v>0</v>
      </c>
      <c r="AE9" s="55">
        <v>47</v>
      </c>
      <c r="AF9" s="55">
        <v>0</v>
      </c>
      <c r="AG9" s="55">
        <v>1</v>
      </c>
      <c r="AH9" s="40">
        <v>12</v>
      </c>
      <c r="AI9" s="40">
        <v>0</v>
      </c>
      <c r="AJ9" s="40">
        <v>0</v>
      </c>
      <c r="AK9" s="40">
        <v>0</v>
      </c>
      <c r="AL9" s="40">
        <v>0.6</v>
      </c>
      <c r="AM9" s="40">
        <v>0</v>
      </c>
      <c r="AN9" s="40">
        <v>0</v>
      </c>
      <c r="AO9" s="40">
        <v>0</v>
      </c>
    </row>
    <row r="10" spans="1:41" s="38" customFormat="1" x14ac:dyDescent="0.25">
      <c r="A10" s="40">
        <v>5</v>
      </c>
      <c r="B10" s="41" t="s">
        <v>269</v>
      </c>
      <c r="C10" s="40">
        <v>253</v>
      </c>
      <c r="D10" s="40">
        <v>253</v>
      </c>
      <c r="E10" s="55">
        <v>1</v>
      </c>
      <c r="F10" s="40">
        <v>2</v>
      </c>
      <c r="G10" s="40">
        <v>1</v>
      </c>
      <c r="H10" s="40">
        <v>2</v>
      </c>
      <c r="I10" s="40">
        <v>1</v>
      </c>
      <c r="J10" s="40">
        <v>2</v>
      </c>
      <c r="K10" s="40">
        <v>1</v>
      </c>
      <c r="L10" s="40">
        <v>6.0299999999999999E-2</v>
      </c>
      <c r="M10" s="55">
        <v>4.4999999999999997E-3</v>
      </c>
      <c r="N10" s="55">
        <v>1</v>
      </c>
      <c r="O10" s="55">
        <v>1</v>
      </c>
      <c r="P10" s="55">
        <v>7</v>
      </c>
      <c r="Q10" s="55">
        <v>8.5</v>
      </c>
      <c r="R10" s="55">
        <v>7</v>
      </c>
      <c r="S10" s="55">
        <v>8.5</v>
      </c>
      <c r="T10" s="55">
        <v>0</v>
      </c>
      <c r="U10" s="55">
        <v>0</v>
      </c>
      <c r="V10" s="55">
        <v>7</v>
      </c>
      <c r="W10" s="71">
        <v>1</v>
      </c>
      <c r="X10" s="71">
        <v>0</v>
      </c>
      <c r="Y10" s="71">
        <v>0</v>
      </c>
      <c r="Z10" s="55">
        <v>0</v>
      </c>
      <c r="AA10" s="55">
        <v>612.29999999999995</v>
      </c>
      <c r="AB10" s="55">
        <f>50</f>
        <v>50</v>
      </c>
      <c r="AC10" s="55">
        <v>1</v>
      </c>
      <c r="AD10" s="55">
        <v>42</v>
      </c>
      <c r="AE10" s="55">
        <v>44</v>
      </c>
      <c r="AF10" s="55">
        <v>0</v>
      </c>
      <c r="AG10" s="55">
        <v>1</v>
      </c>
      <c r="AH10" s="40">
        <v>1</v>
      </c>
      <c r="AI10" s="40">
        <v>0</v>
      </c>
      <c r="AJ10" s="40">
        <v>0</v>
      </c>
      <c r="AK10" s="40">
        <v>0</v>
      </c>
      <c r="AL10" s="40">
        <v>0.6</v>
      </c>
      <c r="AM10" s="40">
        <v>0</v>
      </c>
      <c r="AN10" s="40">
        <v>0</v>
      </c>
      <c r="AO10" s="40">
        <v>0</v>
      </c>
    </row>
    <row r="11" spans="1:41" s="38" customFormat="1" x14ac:dyDescent="0.25">
      <c r="A11" s="40">
        <v>6</v>
      </c>
      <c r="B11" s="41" t="s">
        <v>270</v>
      </c>
      <c r="C11" s="40">
        <v>253</v>
      </c>
      <c r="D11" s="40">
        <v>253</v>
      </c>
      <c r="E11" s="55">
        <v>1</v>
      </c>
      <c r="F11" s="40">
        <v>2</v>
      </c>
      <c r="G11" s="40">
        <v>1</v>
      </c>
      <c r="H11" s="40">
        <v>2</v>
      </c>
      <c r="I11" s="40">
        <v>2</v>
      </c>
      <c r="J11" s="40">
        <v>2</v>
      </c>
      <c r="K11" s="40">
        <v>1</v>
      </c>
      <c r="L11" s="40">
        <v>6.0299999999999999E-2</v>
      </c>
      <c r="M11" s="55">
        <v>4.4999999999999997E-3</v>
      </c>
      <c r="N11" s="40">
        <v>1</v>
      </c>
      <c r="O11" s="40">
        <v>1</v>
      </c>
      <c r="P11" s="55">
        <v>7</v>
      </c>
      <c r="Q11" s="55">
        <v>3.375</v>
      </c>
      <c r="R11" s="55">
        <v>7</v>
      </c>
      <c r="S11" s="55">
        <v>3.375</v>
      </c>
      <c r="T11" s="55">
        <v>0</v>
      </c>
      <c r="U11" s="55">
        <v>0</v>
      </c>
      <c r="V11" s="55">
        <v>3.375</v>
      </c>
      <c r="W11" s="42">
        <v>1</v>
      </c>
      <c r="X11" s="42">
        <v>0</v>
      </c>
      <c r="Y11" s="42">
        <v>0</v>
      </c>
      <c r="Z11" s="40">
        <v>0</v>
      </c>
      <c r="AA11" s="40">
        <v>438.4</v>
      </c>
      <c r="AB11" s="55">
        <v>50</v>
      </c>
      <c r="AC11" s="55">
        <v>2</v>
      </c>
      <c r="AD11" s="55">
        <v>0</v>
      </c>
      <c r="AE11" s="55">
        <v>44</v>
      </c>
      <c r="AF11" s="55">
        <v>0</v>
      </c>
      <c r="AG11" s="55">
        <v>1</v>
      </c>
      <c r="AH11" s="40">
        <v>2</v>
      </c>
      <c r="AI11" s="40">
        <v>0</v>
      </c>
      <c r="AJ11" s="40">
        <v>0</v>
      </c>
      <c r="AK11" s="40">
        <v>0</v>
      </c>
      <c r="AL11" s="40">
        <v>0.6</v>
      </c>
      <c r="AM11" s="40">
        <v>0</v>
      </c>
      <c r="AN11" s="40">
        <v>0</v>
      </c>
      <c r="AO11" s="40">
        <v>0</v>
      </c>
    </row>
    <row r="12" spans="1:41" s="38" customFormat="1" x14ac:dyDescent="0.25">
      <c r="A12" s="40">
        <v>7</v>
      </c>
      <c r="B12" s="41" t="s">
        <v>275</v>
      </c>
      <c r="C12" s="40">
        <v>253</v>
      </c>
      <c r="D12" s="40">
        <v>253</v>
      </c>
      <c r="E12" s="55">
        <v>1</v>
      </c>
      <c r="F12" s="40">
        <v>2</v>
      </c>
      <c r="G12" s="40">
        <v>1</v>
      </c>
      <c r="H12" s="40">
        <v>2</v>
      </c>
      <c r="I12" s="40">
        <v>1</v>
      </c>
      <c r="J12" s="40">
        <v>2</v>
      </c>
      <c r="K12" s="40">
        <v>1</v>
      </c>
      <c r="L12" s="40">
        <v>6.0299999999999999E-2</v>
      </c>
      <c r="M12" s="55">
        <v>4.4999999999999997E-3</v>
      </c>
      <c r="N12" s="40">
        <v>1</v>
      </c>
      <c r="O12" s="40">
        <v>1</v>
      </c>
      <c r="P12" s="40">
        <v>7</v>
      </c>
      <c r="Q12" s="40">
        <v>4</v>
      </c>
      <c r="R12" s="40">
        <v>7</v>
      </c>
      <c r="S12" s="40">
        <v>4</v>
      </c>
      <c r="T12" s="55">
        <v>0</v>
      </c>
      <c r="U12" s="55">
        <v>0</v>
      </c>
      <c r="V12" s="55">
        <v>4</v>
      </c>
      <c r="W12" s="42">
        <v>1</v>
      </c>
      <c r="X12" s="42">
        <v>0</v>
      </c>
      <c r="Y12" s="42">
        <v>0</v>
      </c>
      <c r="Z12" s="40">
        <v>0</v>
      </c>
      <c r="AA12" s="40">
        <v>119.7</v>
      </c>
      <c r="AB12" s="55">
        <v>50</v>
      </c>
      <c r="AC12" s="55">
        <v>2</v>
      </c>
      <c r="AD12" s="55">
        <v>0</v>
      </c>
      <c r="AE12" s="55">
        <v>44</v>
      </c>
      <c r="AF12" s="55">
        <v>0</v>
      </c>
      <c r="AG12" s="55">
        <v>1</v>
      </c>
      <c r="AH12" s="40">
        <v>3</v>
      </c>
      <c r="AI12" s="40">
        <v>0</v>
      </c>
      <c r="AJ12" s="40">
        <v>0</v>
      </c>
      <c r="AK12" s="40">
        <v>0</v>
      </c>
      <c r="AL12" s="40">
        <v>0.6</v>
      </c>
      <c r="AM12" s="40">
        <v>0</v>
      </c>
      <c r="AN12" s="40">
        <v>0</v>
      </c>
      <c r="AO12" s="40">
        <v>0</v>
      </c>
    </row>
    <row r="13" spans="1:41" s="38" customFormat="1" x14ac:dyDescent="0.25">
      <c r="A13" s="40">
        <v>8</v>
      </c>
      <c r="B13" s="41" t="s">
        <v>291</v>
      </c>
      <c r="C13" s="40">
        <v>253</v>
      </c>
      <c r="D13" s="40">
        <v>253</v>
      </c>
      <c r="E13" s="55">
        <v>1</v>
      </c>
      <c r="F13" s="40">
        <v>2</v>
      </c>
      <c r="G13" s="40">
        <v>1</v>
      </c>
      <c r="H13" s="40">
        <v>2</v>
      </c>
      <c r="I13" s="40">
        <v>1</v>
      </c>
      <c r="J13" s="40">
        <v>2</v>
      </c>
      <c r="K13" s="40">
        <v>1</v>
      </c>
      <c r="L13" s="40">
        <v>6.0299999999999999E-2</v>
      </c>
      <c r="M13" s="55">
        <v>4.4999999999999997E-3</v>
      </c>
      <c r="N13" s="40">
        <v>1</v>
      </c>
      <c r="O13" s="40">
        <v>1</v>
      </c>
      <c r="P13" s="55">
        <v>7</v>
      </c>
      <c r="Q13" s="55">
        <v>4</v>
      </c>
      <c r="R13" s="55">
        <v>7</v>
      </c>
      <c r="S13" s="55">
        <v>4</v>
      </c>
      <c r="T13" s="55">
        <v>0</v>
      </c>
      <c r="U13" s="55">
        <v>0</v>
      </c>
      <c r="V13" s="55">
        <v>4</v>
      </c>
      <c r="W13" s="42">
        <v>1</v>
      </c>
      <c r="X13" s="42">
        <v>0</v>
      </c>
      <c r="Y13" s="42">
        <v>0</v>
      </c>
      <c r="Z13" s="40">
        <v>0</v>
      </c>
      <c r="AA13" s="40">
        <v>46.48</v>
      </c>
      <c r="AB13" s="55">
        <v>50</v>
      </c>
      <c r="AC13" s="55">
        <v>2</v>
      </c>
      <c r="AD13" s="55">
        <v>0</v>
      </c>
      <c r="AE13" s="55">
        <v>44</v>
      </c>
      <c r="AF13" s="55">
        <v>0</v>
      </c>
      <c r="AG13" s="55">
        <v>1</v>
      </c>
      <c r="AH13" s="40">
        <v>7</v>
      </c>
      <c r="AI13" s="40">
        <v>0</v>
      </c>
      <c r="AJ13" s="40">
        <v>0</v>
      </c>
      <c r="AK13" s="40">
        <v>0</v>
      </c>
      <c r="AL13" s="40">
        <v>0.6</v>
      </c>
      <c r="AM13" s="40">
        <v>0</v>
      </c>
      <c r="AN13" s="40">
        <v>0</v>
      </c>
      <c r="AO13" s="40">
        <v>0</v>
      </c>
    </row>
    <row r="14" spans="1:41" s="38" customFormat="1" x14ac:dyDescent="0.25">
      <c r="A14" s="40">
        <v>9</v>
      </c>
      <c r="B14" s="41" t="s">
        <v>290</v>
      </c>
      <c r="C14" s="40">
        <v>253</v>
      </c>
      <c r="D14" s="40">
        <v>253</v>
      </c>
      <c r="E14" s="55">
        <v>1</v>
      </c>
      <c r="F14" s="40">
        <v>2</v>
      </c>
      <c r="G14" s="40">
        <v>1</v>
      </c>
      <c r="H14" s="40">
        <v>2</v>
      </c>
      <c r="I14" s="40">
        <v>1</v>
      </c>
      <c r="J14" s="40">
        <v>2</v>
      </c>
      <c r="K14" s="40">
        <v>1</v>
      </c>
      <c r="L14" s="40">
        <v>6.0299999999999999E-2</v>
      </c>
      <c r="M14" s="55">
        <v>4.4999999999999997E-3</v>
      </c>
      <c r="N14" s="55">
        <v>1</v>
      </c>
      <c r="O14" s="55">
        <v>1</v>
      </c>
      <c r="P14" s="55">
        <v>7</v>
      </c>
      <c r="Q14" s="55">
        <v>3.04</v>
      </c>
      <c r="R14" s="55">
        <v>7</v>
      </c>
      <c r="S14" s="55">
        <v>3.0750000000000002</v>
      </c>
      <c r="T14" s="55">
        <v>0</v>
      </c>
      <c r="U14" s="55">
        <v>0</v>
      </c>
      <c r="V14" s="55">
        <v>3.04</v>
      </c>
      <c r="W14" s="42">
        <v>1</v>
      </c>
      <c r="X14" s="42">
        <v>0</v>
      </c>
      <c r="Y14" s="42">
        <v>0</v>
      </c>
      <c r="Z14" s="40">
        <v>0</v>
      </c>
      <c r="AA14" s="40">
        <v>168.5</v>
      </c>
      <c r="AB14" s="55">
        <v>50</v>
      </c>
      <c r="AC14" s="55">
        <v>2</v>
      </c>
      <c r="AD14" s="55">
        <v>0</v>
      </c>
      <c r="AE14" s="55">
        <v>44</v>
      </c>
      <c r="AF14" s="55">
        <v>0</v>
      </c>
      <c r="AG14" s="55">
        <v>1</v>
      </c>
      <c r="AH14" s="40">
        <v>11</v>
      </c>
      <c r="AI14" s="40">
        <v>0</v>
      </c>
      <c r="AJ14" s="40">
        <v>0</v>
      </c>
      <c r="AK14" s="40">
        <v>0</v>
      </c>
      <c r="AL14" s="40">
        <v>0.6</v>
      </c>
      <c r="AM14" s="40">
        <v>0</v>
      </c>
      <c r="AN14" s="40">
        <v>0</v>
      </c>
      <c r="AO14" s="40">
        <v>0</v>
      </c>
    </row>
    <row r="15" spans="1:41" s="38" customFormat="1" x14ac:dyDescent="0.25">
      <c r="A15" s="40">
        <v>10</v>
      </c>
      <c r="B15" s="41" t="s">
        <v>276</v>
      </c>
      <c r="C15" s="40">
        <v>253</v>
      </c>
      <c r="D15" s="40">
        <v>253</v>
      </c>
      <c r="E15" s="40">
        <v>1</v>
      </c>
      <c r="F15" s="40">
        <v>2</v>
      </c>
      <c r="G15" s="40">
        <v>1</v>
      </c>
      <c r="H15" s="40">
        <v>1</v>
      </c>
      <c r="I15" s="40">
        <v>2</v>
      </c>
      <c r="J15" s="40">
        <v>2</v>
      </c>
      <c r="K15" s="40">
        <v>1</v>
      </c>
      <c r="L15" s="40">
        <v>4.8300000000000003E-2</v>
      </c>
      <c r="M15" s="40">
        <v>5.0000000000000001E-3</v>
      </c>
      <c r="N15" s="55">
        <v>39</v>
      </c>
      <c r="O15" s="55">
        <v>16</v>
      </c>
      <c r="P15" s="40">
        <v>0.18</v>
      </c>
      <c r="Q15" s="55">
        <v>0.18</v>
      </c>
      <c r="R15" s="40">
        <v>7</v>
      </c>
      <c r="S15" s="55">
        <v>3.0750000000000002</v>
      </c>
      <c r="T15" s="55">
        <v>0</v>
      </c>
      <c r="U15" s="55">
        <v>0</v>
      </c>
      <c r="V15" s="55">
        <v>3</v>
      </c>
      <c r="W15" s="42">
        <v>1</v>
      </c>
      <c r="X15" s="42">
        <v>0</v>
      </c>
      <c r="Y15" s="42">
        <v>0</v>
      </c>
      <c r="Z15" s="40">
        <v>0</v>
      </c>
      <c r="AA15" s="40">
        <v>234</v>
      </c>
      <c r="AB15" s="55">
        <v>39</v>
      </c>
      <c r="AC15" s="55">
        <v>2</v>
      </c>
      <c r="AD15" s="55">
        <v>0</v>
      </c>
      <c r="AE15" s="55">
        <v>44</v>
      </c>
      <c r="AF15" s="55">
        <v>0</v>
      </c>
      <c r="AG15" s="55">
        <v>1</v>
      </c>
      <c r="AH15" s="40">
        <v>9</v>
      </c>
      <c r="AI15" s="40">
        <v>0</v>
      </c>
      <c r="AJ15" s="40">
        <v>0</v>
      </c>
      <c r="AK15" s="40">
        <v>0</v>
      </c>
      <c r="AL15" s="40">
        <v>0.55000000000000004</v>
      </c>
      <c r="AM15" s="40">
        <v>0</v>
      </c>
      <c r="AN15" s="40">
        <v>0</v>
      </c>
      <c r="AO15" s="40">
        <v>0</v>
      </c>
    </row>
    <row r="16" spans="1:41" s="38" customFormat="1" x14ac:dyDescent="0.25">
      <c r="A16" s="40">
        <v>11</v>
      </c>
      <c r="B16" s="41" t="s">
        <v>292</v>
      </c>
      <c r="C16" s="40">
        <v>253</v>
      </c>
      <c r="D16" s="40">
        <v>253</v>
      </c>
      <c r="E16" s="40">
        <v>1</v>
      </c>
      <c r="F16" s="40">
        <v>2</v>
      </c>
      <c r="G16" s="40">
        <v>1</v>
      </c>
      <c r="H16" s="40">
        <v>1</v>
      </c>
      <c r="I16" s="40">
        <v>2</v>
      </c>
      <c r="J16" s="40">
        <v>2</v>
      </c>
      <c r="K16" s="40">
        <v>1</v>
      </c>
      <c r="L16" s="40">
        <v>4.8300000000000003E-2</v>
      </c>
      <c r="M16" s="40">
        <v>5.0000000000000001E-3</v>
      </c>
      <c r="N16" s="55">
        <v>39</v>
      </c>
      <c r="O16" s="55">
        <v>16</v>
      </c>
      <c r="P16" s="40">
        <v>0.18</v>
      </c>
      <c r="Q16" s="55">
        <v>0.18</v>
      </c>
      <c r="R16" s="40">
        <v>7</v>
      </c>
      <c r="S16" s="55">
        <v>3.0750000000000002</v>
      </c>
      <c r="T16" s="55">
        <v>0</v>
      </c>
      <c r="U16" s="55">
        <v>0</v>
      </c>
      <c r="V16" s="55">
        <v>3</v>
      </c>
      <c r="W16" s="42">
        <v>1</v>
      </c>
      <c r="X16" s="42">
        <v>0</v>
      </c>
      <c r="Y16" s="42">
        <v>0</v>
      </c>
      <c r="Z16" s="40">
        <v>0</v>
      </c>
      <c r="AA16" s="40">
        <v>234</v>
      </c>
      <c r="AB16" s="55">
        <v>39</v>
      </c>
      <c r="AC16" s="55">
        <v>2</v>
      </c>
      <c r="AD16" s="55">
        <v>0</v>
      </c>
      <c r="AE16" s="55">
        <v>44</v>
      </c>
      <c r="AF16" s="55">
        <v>0</v>
      </c>
      <c r="AG16" s="55">
        <v>1</v>
      </c>
      <c r="AH16" s="40">
        <v>10</v>
      </c>
      <c r="AI16" s="40">
        <v>0</v>
      </c>
      <c r="AJ16" s="40">
        <v>0</v>
      </c>
      <c r="AK16" s="40">
        <v>0</v>
      </c>
      <c r="AL16" s="40">
        <v>0.55000000000000004</v>
      </c>
      <c r="AM16" s="40">
        <v>0</v>
      </c>
      <c r="AN16" s="40">
        <v>0</v>
      </c>
      <c r="AO16" s="40">
        <v>0</v>
      </c>
    </row>
    <row r="17" spans="1:41" s="38" customFormat="1" x14ac:dyDescent="0.25">
      <c r="A17" s="40">
        <v>12</v>
      </c>
      <c r="B17" s="41" t="s">
        <v>293</v>
      </c>
      <c r="C17" s="40">
        <v>253</v>
      </c>
      <c r="D17" s="40">
        <v>290</v>
      </c>
      <c r="E17" s="40">
        <v>1</v>
      </c>
      <c r="F17" s="40">
        <v>3</v>
      </c>
      <c r="G17" s="40">
        <v>1</v>
      </c>
      <c r="H17" s="40">
        <v>1</v>
      </c>
      <c r="I17" s="40">
        <v>1</v>
      </c>
      <c r="J17" s="40">
        <v>2</v>
      </c>
      <c r="K17" s="40">
        <v>1</v>
      </c>
      <c r="L17" s="40">
        <v>4.24E-2</v>
      </c>
      <c r="M17" s="40">
        <v>5.0000000000000001E-3</v>
      </c>
      <c r="N17" s="55">
        <v>39</v>
      </c>
      <c r="O17" s="55">
        <v>14</v>
      </c>
      <c r="P17" s="40">
        <v>0.18</v>
      </c>
      <c r="Q17" s="55">
        <v>0.16</v>
      </c>
      <c r="R17" s="40">
        <v>7</v>
      </c>
      <c r="S17" s="55">
        <v>3.0750000000000002</v>
      </c>
      <c r="T17" s="55">
        <v>0</v>
      </c>
      <c r="U17" s="55">
        <v>0</v>
      </c>
      <c r="V17" s="55">
        <v>3</v>
      </c>
      <c r="W17" s="42">
        <v>1</v>
      </c>
      <c r="X17" s="42">
        <v>0</v>
      </c>
      <c r="Y17" s="42">
        <v>0</v>
      </c>
      <c r="Z17" s="40">
        <v>0</v>
      </c>
      <c r="AA17" s="40">
        <v>207.3</v>
      </c>
      <c r="AB17" s="55">
        <f>N17</f>
        <v>39</v>
      </c>
      <c r="AC17" s="55">
        <v>2</v>
      </c>
      <c r="AD17" s="55">
        <v>0</v>
      </c>
      <c r="AE17" s="55">
        <v>43</v>
      </c>
      <c r="AF17" s="55">
        <v>0</v>
      </c>
      <c r="AG17" s="55">
        <v>1</v>
      </c>
      <c r="AH17" s="40">
        <v>8</v>
      </c>
      <c r="AI17" s="40">
        <v>0</v>
      </c>
      <c r="AJ17" s="40">
        <v>0</v>
      </c>
      <c r="AK17" s="40">
        <v>0</v>
      </c>
      <c r="AL17" s="40">
        <v>0.5</v>
      </c>
      <c r="AM17" s="40">
        <v>0</v>
      </c>
      <c r="AN17" s="40">
        <v>0</v>
      </c>
      <c r="AO17" s="40">
        <v>0</v>
      </c>
    </row>
    <row r="18" spans="1:41" s="38" customFormat="1" x14ac:dyDescent="0.25">
      <c r="A18" s="40">
        <v>13</v>
      </c>
      <c r="B18" s="41" t="s">
        <v>295</v>
      </c>
      <c r="C18" s="40">
        <v>290</v>
      </c>
      <c r="D18" s="40">
        <v>330</v>
      </c>
      <c r="E18" s="40">
        <v>1</v>
      </c>
      <c r="F18" s="40">
        <v>3</v>
      </c>
      <c r="G18" s="40">
        <v>1</v>
      </c>
      <c r="H18" s="40">
        <v>1</v>
      </c>
      <c r="I18" s="40">
        <v>1</v>
      </c>
      <c r="J18" s="40">
        <v>2</v>
      </c>
      <c r="K18" s="40">
        <v>1</v>
      </c>
      <c r="L18" s="40">
        <v>4.24E-2</v>
      </c>
      <c r="M18" s="40">
        <v>5.0000000000000001E-3</v>
      </c>
      <c r="N18" s="55">
        <v>39</v>
      </c>
      <c r="O18" s="55">
        <v>14</v>
      </c>
      <c r="P18" s="40">
        <v>0.18</v>
      </c>
      <c r="Q18" s="55">
        <v>0.16</v>
      </c>
      <c r="R18" s="40">
        <v>7</v>
      </c>
      <c r="S18" s="55">
        <v>3.0750000000000002</v>
      </c>
      <c r="T18" s="55">
        <v>0</v>
      </c>
      <c r="U18" s="55">
        <v>0</v>
      </c>
      <c r="V18" s="55">
        <v>3</v>
      </c>
      <c r="W18" s="42">
        <v>1</v>
      </c>
      <c r="X18" s="42">
        <v>0</v>
      </c>
      <c r="Y18" s="42">
        <v>0</v>
      </c>
      <c r="Z18" s="40">
        <v>0</v>
      </c>
      <c r="AA18" s="40">
        <v>207.3</v>
      </c>
      <c r="AB18" s="55">
        <f>N18</f>
        <v>39</v>
      </c>
      <c r="AC18" s="55">
        <v>2</v>
      </c>
      <c r="AD18" s="55">
        <v>0</v>
      </c>
      <c r="AE18" s="55">
        <v>43</v>
      </c>
      <c r="AF18" s="55">
        <v>0</v>
      </c>
      <c r="AG18" s="55">
        <v>1</v>
      </c>
      <c r="AH18" s="40">
        <v>6</v>
      </c>
      <c r="AI18" s="40">
        <v>0</v>
      </c>
      <c r="AJ18" s="40">
        <v>0</v>
      </c>
      <c r="AK18" s="40">
        <v>0</v>
      </c>
      <c r="AL18" s="40">
        <v>0.5</v>
      </c>
      <c r="AM18" s="40">
        <v>0</v>
      </c>
      <c r="AN18" s="40">
        <v>0</v>
      </c>
      <c r="AO18" s="40">
        <v>0</v>
      </c>
    </row>
    <row r="19" spans="1:41" s="38" customFormat="1" x14ac:dyDescent="0.25">
      <c r="A19" s="40">
        <v>14</v>
      </c>
      <c r="B19" s="41" t="s">
        <v>294</v>
      </c>
      <c r="C19" s="40">
        <v>330</v>
      </c>
      <c r="D19" s="40">
        <v>370</v>
      </c>
      <c r="E19" s="40">
        <v>1</v>
      </c>
      <c r="F19" s="40">
        <v>3</v>
      </c>
      <c r="G19" s="40">
        <v>1</v>
      </c>
      <c r="H19" s="40">
        <v>1</v>
      </c>
      <c r="I19" s="40">
        <v>1</v>
      </c>
      <c r="J19" s="40">
        <v>2</v>
      </c>
      <c r="K19" s="40">
        <v>2</v>
      </c>
      <c r="L19" s="40">
        <v>4.24E-2</v>
      </c>
      <c r="M19" s="40">
        <v>5.0000000000000001E-3</v>
      </c>
      <c r="N19" s="55">
        <v>39</v>
      </c>
      <c r="O19" s="55">
        <v>14</v>
      </c>
      <c r="P19" s="40">
        <v>0.18</v>
      </c>
      <c r="Q19" s="55">
        <v>0.16</v>
      </c>
      <c r="R19" s="40">
        <v>7</v>
      </c>
      <c r="S19" s="55">
        <v>3.0750000000000002</v>
      </c>
      <c r="T19" s="55">
        <v>0</v>
      </c>
      <c r="U19" s="55">
        <v>0</v>
      </c>
      <c r="V19" s="55">
        <v>3</v>
      </c>
      <c r="W19" s="42">
        <v>1</v>
      </c>
      <c r="X19" s="42">
        <v>0</v>
      </c>
      <c r="Y19" s="42">
        <v>0</v>
      </c>
      <c r="Z19" s="40">
        <v>0</v>
      </c>
      <c r="AA19" s="40">
        <v>207.3</v>
      </c>
      <c r="AB19" s="55">
        <f>N19</f>
        <v>39</v>
      </c>
      <c r="AC19" s="55">
        <v>2</v>
      </c>
      <c r="AD19" s="55">
        <v>0</v>
      </c>
      <c r="AE19" s="55">
        <v>42</v>
      </c>
      <c r="AF19" s="55">
        <v>0</v>
      </c>
      <c r="AG19" s="55">
        <v>1</v>
      </c>
      <c r="AH19" s="40">
        <v>5</v>
      </c>
      <c r="AI19" s="40">
        <v>0</v>
      </c>
      <c r="AJ19" s="40">
        <v>1</v>
      </c>
      <c r="AK19" s="40">
        <v>0</v>
      </c>
      <c r="AL19" s="40">
        <v>0.5</v>
      </c>
      <c r="AM19" s="40">
        <v>0</v>
      </c>
      <c r="AN19" s="40">
        <v>0</v>
      </c>
      <c r="AO19" s="40">
        <v>0</v>
      </c>
    </row>
    <row r="20" spans="1:41" s="38" customFormat="1" x14ac:dyDescent="0.25">
      <c r="A20" s="40">
        <v>15</v>
      </c>
      <c r="B20" s="41" t="s">
        <v>271</v>
      </c>
      <c r="C20" s="40">
        <v>280</v>
      </c>
      <c r="D20" s="40">
        <v>380</v>
      </c>
      <c r="E20" s="40">
        <v>1</v>
      </c>
      <c r="F20" s="40">
        <v>3</v>
      </c>
      <c r="G20" s="40">
        <v>1</v>
      </c>
      <c r="H20" s="40">
        <v>1</v>
      </c>
      <c r="I20" s="40">
        <v>1</v>
      </c>
      <c r="J20" s="40">
        <v>1</v>
      </c>
      <c r="K20" s="40">
        <v>1</v>
      </c>
      <c r="L20" s="40">
        <v>4.24E-2</v>
      </c>
      <c r="M20" s="40">
        <v>5.0000000000000001E-3</v>
      </c>
      <c r="N20" s="55">
        <v>39</v>
      </c>
      <c r="O20" s="55">
        <v>28</v>
      </c>
      <c r="P20" s="40">
        <v>0.18</v>
      </c>
      <c r="Q20" s="55">
        <v>0.16</v>
      </c>
      <c r="R20" s="40">
        <v>7</v>
      </c>
      <c r="S20" s="55">
        <v>3.0750000000000002</v>
      </c>
      <c r="T20" s="55">
        <v>0</v>
      </c>
      <c r="U20" s="55">
        <v>0</v>
      </c>
      <c r="V20" s="55">
        <v>3</v>
      </c>
      <c r="W20" s="42">
        <v>1</v>
      </c>
      <c r="X20" s="42">
        <v>0</v>
      </c>
      <c r="Y20" s="42">
        <v>0</v>
      </c>
      <c r="Z20" s="40">
        <v>0</v>
      </c>
      <c r="AA20" s="40">
        <v>414.6</v>
      </c>
      <c r="AB20" s="55">
        <f>N20</f>
        <v>39</v>
      </c>
      <c r="AC20" s="55">
        <v>2</v>
      </c>
      <c r="AD20" s="55">
        <v>0</v>
      </c>
      <c r="AE20" s="55">
        <v>41</v>
      </c>
      <c r="AF20" s="55">
        <v>0</v>
      </c>
      <c r="AG20" s="55">
        <v>1</v>
      </c>
      <c r="AH20" s="40">
        <v>4</v>
      </c>
      <c r="AI20" s="40">
        <v>0</v>
      </c>
      <c r="AJ20" s="40">
        <v>0</v>
      </c>
      <c r="AK20" s="40">
        <v>1</v>
      </c>
      <c r="AL20" s="40">
        <v>0.5</v>
      </c>
      <c r="AM20" s="40">
        <v>0</v>
      </c>
      <c r="AN20" s="40">
        <v>0</v>
      </c>
      <c r="AO20" s="40">
        <v>0</v>
      </c>
    </row>
    <row r="21" spans="1:41" s="38" customFormat="1" x14ac:dyDescent="0.25">
      <c r="A21" s="40">
        <v>16</v>
      </c>
      <c r="B21" s="41" t="s">
        <v>272</v>
      </c>
      <c r="C21" s="40">
        <v>253</v>
      </c>
      <c r="D21" s="40">
        <v>253</v>
      </c>
      <c r="E21" s="40">
        <v>1</v>
      </c>
      <c r="F21" s="40">
        <v>2</v>
      </c>
      <c r="G21" s="40">
        <v>1</v>
      </c>
      <c r="H21" s="40">
        <v>2</v>
      </c>
      <c r="I21" s="40">
        <v>1</v>
      </c>
      <c r="J21" s="40">
        <v>2</v>
      </c>
      <c r="K21" s="40">
        <v>1</v>
      </c>
      <c r="L21" s="40">
        <v>6.0299999999999999E-2</v>
      </c>
      <c r="M21" s="55">
        <v>4.4999999999999997E-3</v>
      </c>
      <c r="N21" s="55">
        <v>50</v>
      </c>
      <c r="O21" s="55">
        <v>1</v>
      </c>
      <c r="P21" s="55">
        <v>7.4999999999999997E-2</v>
      </c>
      <c r="Q21" s="55">
        <v>0.05</v>
      </c>
      <c r="R21" s="40">
        <v>7</v>
      </c>
      <c r="S21" s="55">
        <v>3.0750000000000002</v>
      </c>
      <c r="T21" s="55">
        <v>0</v>
      </c>
      <c r="U21" s="55">
        <v>0</v>
      </c>
      <c r="V21" s="55">
        <v>3</v>
      </c>
      <c r="W21" s="42">
        <v>1</v>
      </c>
      <c r="X21" s="42">
        <v>0</v>
      </c>
      <c r="Y21" s="42">
        <v>0</v>
      </c>
      <c r="Z21" s="40">
        <v>0</v>
      </c>
      <c r="AA21" s="40">
        <v>139.6</v>
      </c>
      <c r="AB21" s="55">
        <f t="shared" ref="AB21:AB26" si="0">N21*O21</f>
        <v>50</v>
      </c>
      <c r="AC21" s="55">
        <v>2</v>
      </c>
      <c r="AD21" s="55">
        <v>0</v>
      </c>
      <c r="AE21" s="55">
        <v>44</v>
      </c>
      <c r="AF21" s="55">
        <v>0</v>
      </c>
      <c r="AG21" s="55">
        <v>1</v>
      </c>
      <c r="AH21" s="40">
        <v>4</v>
      </c>
      <c r="AI21" s="40">
        <v>0</v>
      </c>
      <c r="AJ21" s="40">
        <v>0</v>
      </c>
      <c r="AK21" s="40">
        <v>0</v>
      </c>
      <c r="AL21" s="40">
        <v>0.6</v>
      </c>
      <c r="AM21" s="40">
        <v>0</v>
      </c>
      <c r="AN21" s="40">
        <v>0</v>
      </c>
      <c r="AO21" s="40">
        <v>0</v>
      </c>
    </row>
    <row r="22" spans="1:41" s="38" customFormat="1" x14ac:dyDescent="0.25">
      <c r="A22" s="40">
        <v>17</v>
      </c>
      <c r="B22" s="41" t="s">
        <v>273</v>
      </c>
      <c r="C22" s="40">
        <v>253</v>
      </c>
      <c r="D22" s="40">
        <v>253</v>
      </c>
      <c r="E22" s="40">
        <v>1</v>
      </c>
      <c r="F22" s="40">
        <v>2</v>
      </c>
      <c r="G22" s="40">
        <v>1</v>
      </c>
      <c r="H22" s="40">
        <v>2</v>
      </c>
      <c r="I22" s="40">
        <v>1</v>
      </c>
      <c r="J22" s="40">
        <v>2</v>
      </c>
      <c r="K22" s="40">
        <v>1</v>
      </c>
      <c r="L22" s="40">
        <v>6.0299999999999999E-2</v>
      </c>
      <c r="M22" s="55">
        <v>4.4999999999999997E-3</v>
      </c>
      <c r="N22" s="55">
        <v>50</v>
      </c>
      <c r="O22" s="55">
        <v>1</v>
      </c>
      <c r="P22" s="55">
        <v>7.4999999999999997E-2</v>
      </c>
      <c r="Q22" s="55">
        <v>0.05</v>
      </c>
      <c r="R22" s="40">
        <v>7</v>
      </c>
      <c r="S22" s="55">
        <v>3.0750000000000002</v>
      </c>
      <c r="T22" s="55">
        <v>0</v>
      </c>
      <c r="U22" s="55">
        <v>0</v>
      </c>
      <c r="V22" s="55">
        <v>3</v>
      </c>
      <c r="W22" s="42">
        <v>1</v>
      </c>
      <c r="X22" s="42">
        <v>0</v>
      </c>
      <c r="Y22" s="42">
        <v>0</v>
      </c>
      <c r="Z22" s="40">
        <v>0</v>
      </c>
      <c r="AA22" s="40">
        <v>69.5</v>
      </c>
      <c r="AB22" s="55">
        <f t="shared" si="0"/>
        <v>50</v>
      </c>
      <c r="AC22" s="55">
        <v>2</v>
      </c>
      <c r="AD22" s="55">
        <v>0</v>
      </c>
      <c r="AE22" s="55">
        <v>44</v>
      </c>
      <c r="AF22" s="55">
        <v>0</v>
      </c>
      <c r="AG22" s="55">
        <v>1</v>
      </c>
      <c r="AH22" s="40">
        <v>5</v>
      </c>
      <c r="AI22" s="40">
        <v>0</v>
      </c>
      <c r="AJ22" s="40">
        <v>0</v>
      </c>
      <c r="AK22" s="40">
        <v>0</v>
      </c>
      <c r="AL22" s="40">
        <v>0.6</v>
      </c>
      <c r="AM22" s="40">
        <v>0</v>
      </c>
      <c r="AN22" s="40">
        <v>0</v>
      </c>
      <c r="AO22" s="40">
        <v>0</v>
      </c>
    </row>
    <row r="23" spans="1:41" s="38" customFormat="1" x14ac:dyDescent="0.25">
      <c r="A23" s="40">
        <v>18</v>
      </c>
      <c r="B23" s="41" t="s">
        <v>274</v>
      </c>
      <c r="C23" s="40">
        <v>253</v>
      </c>
      <c r="D23" s="40">
        <v>253</v>
      </c>
      <c r="E23" s="55">
        <v>1</v>
      </c>
      <c r="F23" s="55">
        <v>2</v>
      </c>
      <c r="G23" s="55">
        <v>1</v>
      </c>
      <c r="H23" s="55">
        <v>2</v>
      </c>
      <c r="I23" s="55">
        <v>1</v>
      </c>
      <c r="J23" s="55">
        <v>2</v>
      </c>
      <c r="K23" s="55">
        <v>1</v>
      </c>
      <c r="L23" s="40">
        <v>6.0299999999999999E-2</v>
      </c>
      <c r="M23" s="55">
        <v>4.4999999999999997E-3</v>
      </c>
      <c r="N23" s="55">
        <v>50</v>
      </c>
      <c r="O23" s="55">
        <v>1</v>
      </c>
      <c r="P23" s="55">
        <v>7.4999999999999997E-2</v>
      </c>
      <c r="Q23" s="55">
        <v>0.05</v>
      </c>
      <c r="R23" s="40">
        <v>7</v>
      </c>
      <c r="S23" s="55">
        <v>3.0750000000000002</v>
      </c>
      <c r="T23" s="55">
        <v>0</v>
      </c>
      <c r="U23" s="55">
        <v>0</v>
      </c>
      <c r="V23" s="55">
        <v>3</v>
      </c>
      <c r="W23" s="42">
        <v>1</v>
      </c>
      <c r="X23" s="42">
        <v>0</v>
      </c>
      <c r="Y23" s="42">
        <v>0</v>
      </c>
      <c r="Z23" s="40">
        <v>0</v>
      </c>
      <c r="AA23" s="40">
        <v>69.5</v>
      </c>
      <c r="AB23" s="55">
        <f t="shared" si="0"/>
        <v>50</v>
      </c>
      <c r="AC23" s="55">
        <v>2</v>
      </c>
      <c r="AD23" s="55">
        <v>0</v>
      </c>
      <c r="AE23" s="55">
        <v>44</v>
      </c>
      <c r="AF23" s="55">
        <v>0</v>
      </c>
      <c r="AG23" s="55">
        <v>1</v>
      </c>
      <c r="AH23" s="40">
        <v>6</v>
      </c>
      <c r="AI23" s="40">
        <v>0</v>
      </c>
      <c r="AJ23" s="40">
        <v>0</v>
      </c>
      <c r="AK23" s="40">
        <v>0</v>
      </c>
      <c r="AL23" s="40">
        <v>0.6</v>
      </c>
      <c r="AM23" s="40">
        <v>0</v>
      </c>
      <c r="AN23" s="40">
        <v>0</v>
      </c>
      <c r="AO23" s="40">
        <v>0</v>
      </c>
    </row>
    <row r="24" spans="1:41" s="38" customFormat="1" x14ac:dyDescent="0.25">
      <c r="A24" s="40">
        <v>19</v>
      </c>
      <c r="B24" s="41" t="s">
        <v>296</v>
      </c>
      <c r="C24" s="40">
        <v>253</v>
      </c>
      <c r="D24" s="40">
        <v>253</v>
      </c>
      <c r="E24" s="55">
        <v>1</v>
      </c>
      <c r="F24" s="55">
        <v>2</v>
      </c>
      <c r="G24" s="55">
        <v>1</v>
      </c>
      <c r="H24" s="55">
        <v>2</v>
      </c>
      <c r="I24" s="55">
        <v>1</v>
      </c>
      <c r="J24" s="55">
        <v>2</v>
      </c>
      <c r="K24" s="55">
        <v>1</v>
      </c>
      <c r="L24" s="40">
        <v>6.0299999999999999E-2</v>
      </c>
      <c r="M24" s="55">
        <v>4.4999999999999997E-3</v>
      </c>
      <c r="N24" s="55">
        <v>50</v>
      </c>
      <c r="O24" s="55">
        <v>1</v>
      </c>
      <c r="P24" s="55">
        <v>7.4999999999999997E-2</v>
      </c>
      <c r="Q24" s="55">
        <v>0.05</v>
      </c>
      <c r="R24" s="40">
        <v>7</v>
      </c>
      <c r="S24" s="55">
        <v>3.0750000000000002</v>
      </c>
      <c r="T24" s="55">
        <v>0</v>
      </c>
      <c r="U24" s="55">
        <v>0</v>
      </c>
      <c r="V24" s="55">
        <v>3</v>
      </c>
      <c r="W24" s="42">
        <v>1</v>
      </c>
      <c r="X24" s="42">
        <v>0</v>
      </c>
      <c r="Y24" s="42">
        <v>0</v>
      </c>
      <c r="Z24" s="40">
        <v>0</v>
      </c>
      <c r="AA24" s="40">
        <v>69.5</v>
      </c>
      <c r="AB24" s="55">
        <f t="shared" si="0"/>
        <v>50</v>
      </c>
      <c r="AC24" s="55">
        <v>2</v>
      </c>
      <c r="AD24" s="55">
        <v>0</v>
      </c>
      <c r="AE24" s="55">
        <v>44</v>
      </c>
      <c r="AF24" s="55">
        <v>0</v>
      </c>
      <c r="AG24" s="55">
        <v>1</v>
      </c>
      <c r="AH24" s="40">
        <v>8</v>
      </c>
      <c r="AI24" s="40">
        <v>0</v>
      </c>
      <c r="AJ24" s="40">
        <v>0</v>
      </c>
      <c r="AK24" s="40">
        <v>0</v>
      </c>
      <c r="AL24" s="40">
        <v>0.6</v>
      </c>
      <c r="AM24" s="40">
        <v>0</v>
      </c>
      <c r="AN24" s="40">
        <v>0</v>
      </c>
      <c r="AO24" s="40">
        <v>0</v>
      </c>
    </row>
    <row r="25" spans="1:41" s="38" customFormat="1" x14ac:dyDescent="0.25">
      <c r="A25" s="40">
        <v>20</v>
      </c>
      <c r="B25" s="41" t="s">
        <v>297</v>
      </c>
      <c r="C25" s="40">
        <v>253</v>
      </c>
      <c r="D25" s="40">
        <v>253</v>
      </c>
      <c r="E25" s="55">
        <v>1</v>
      </c>
      <c r="F25" s="55">
        <v>2</v>
      </c>
      <c r="G25" s="55">
        <v>1</v>
      </c>
      <c r="H25" s="55">
        <v>2</v>
      </c>
      <c r="I25" s="55">
        <v>2</v>
      </c>
      <c r="J25" s="55">
        <v>2</v>
      </c>
      <c r="K25" s="55">
        <v>1</v>
      </c>
      <c r="L25" s="40">
        <v>6.0299999999999999E-2</v>
      </c>
      <c r="M25" s="55">
        <v>4.4999999999999997E-3</v>
      </c>
      <c r="N25" s="55">
        <v>50</v>
      </c>
      <c r="O25" s="55">
        <v>1</v>
      </c>
      <c r="P25" s="55">
        <v>7.4999999999999997E-2</v>
      </c>
      <c r="Q25" s="55">
        <v>0.05</v>
      </c>
      <c r="R25" s="40">
        <v>7</v>
      </c>
      <c r="S25" s="55">
        <v>3.0750000000000002</v>
      </c>
      <c r="T25" s="55">
        <v>0</v>
      </c>
      <c r="U25" s="55">
        <v>0</v>
      </c>
      <c r="V25" s="55">
        <v>3</v>
      </c>
      <c r="W25" s="42">
        <v>1</v>
      </c>
      <c r="X25" s="42">
        <v>0</v>
      </c>
      <c r="Y25" s="42">
        <v>0</v>
      </c>
      <c r="Z25" s="40">
        <v>0</v>
      </c>
      <c r="AA25" s="40">
        <v>43.1</v>
      </c>
      <c r="AB25" s="55">
        <f t="shared" si="0"/>
        <v>50</v>
      </c>
      <c r="AC25" s="55">
        <v>2</v>
      </c>
      <c r="AD25" s="55">
        <v>0</v>
      </c>
      <c r="AE25" s="55">
        <v>44</v>
      </c>
      <c r="AF25" s="55">
        <v>0</v>
      </c>
      <c r="AG25" s="55">
        <v>1</v>
      </c>
      <c r="AH25" s="40">
        <v>9</v>
      </c>
      <c r="AI25" s="40">
        <v>0</v>
      </c>
      <c r="AJ25" s="40">
        <v>0</v>
      </c>
      <c r="AK25" s="40">
        <v>0</v>
      </c>
      <c r="AL25" s="40">
        <v>0.6</v>
      </c>
      <c r="AM25" s="40">
        <v>0</v>
      </c>
      <c r="AN25" s="40">
        <v>0</v>
      </c>
      <c r="AO25" s="40">
        <v>0</v>
      </c>
    </row>
    <row r="26" spans="1:41" s="38" customFormat="1" x14ac:dyDescent="0.25">
      <c r="A26" s="40">
        <v>21</v>
      </c>
      <c r="B26" s="41" t="s">
        <v>298</v>
      </c>
      <c r="C26" s="40">
        <v>253</v>
      </c>
      <c r="D26" s="40">
        <v>253</v>
      </c>
      <c r="E26" s="55">
        <v>1</v>
      </c>
      <c r="F26" s="55">
        <v>2</v>
      </c>
      <c r="G26" s="55">
        <v>1</v>
      </c>
      <c r="H26" s="55">
        <v>2</v>
      </c>
      <c r="I26" s="55">
        <v>2</v>
      </c>
      <c r="J26" s="55">
        <v>2</v>
      </c>
      <c r="K26" s="55">
        <v>1</v>
      </c>
      <c r="L26" s="40">
        <v>6.0299999999999999E-2</v>
      </c>
      <c r="M26" s="55">
        <v>4.4999999999999997E-3</v>
      </c>
      <c r="N26" s="55">
        <v>50</v>
      </c>
      <c r="O26" s="55">
        <v>1</v>
      </c>
      <c r="P26" s="55">
        <v>7.4999999999999997E-2</v>
      </c>
      <c r="Q26" s="55">
        <v>0.05</v>
      </c>
      <c r="R26" s="40">
        <v>7</v>
      </c>
      <c r="S26" s="55">
        <v>3.0750000000000002</v>
      </c>
      <c r="T26" s="55">
        <v>0</v>
      </c>
      <c r="U26" s="55">
        <v>0</v>
      </c>
      <c r="V26" s="55">
        <v>3</v>
      </c>
      <c r="W26" s="42">
        <v>1</v>
      </c>
      <c r="X26" s="42">
        <v>0</v>
      </c>
      <c r="Y26" s="42">
        <v>0</v>
      </c>
      <c r="Z26" s="40">
        <v>0</v>
      </c>
      <c r="AA26" s="40">
        <v>43.1</v>
      </c>
      <c r="AB26" s="55">
        <f t="shared" si="0"/>
        <v>50</v>
      </c>
      <c r="AC26" s="55">
        <v>2</v>
      </c>
      <c r="AD26" s="55">
        <v>0</v>
      </c>
      <c r="AE26" s="55">
        <v>44</v>
      </c>
      <c r="AF26" s="55">
        <v>0</v>
      </c>
      <c r="AG26" s="55">
        <v>1</v>
      </c>
      <c r="AH26" s="40">
        <v>10</v>
      </c>
      <c r="AI26" s="40">
        <v>0</v>
      </c>
      <c r="AJ26" s="40">
        <v>0</v>
      </c>
      <c r="AK26" s="40">
        <v>0</v>
      </c>
      <c r="AL26" s="40">
        <v>0.6</v>
      </c>
      <c r="AM26" s="40">
        <v>0</v>
      </c>
      <c r="AN26" s="40">
        <v>0</v>
      </c>
      <c r="AO26" s="40">
        <v>0</v>
      </c>
    </row>
    <row r="27" spans="1:41" s="38" customFormat="1" x14ac:dyDescent="0.25">
      <c r="A27" s="40"/>
      <c r="B27" s="39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42"/>
      <c r="X27" s="42"/>
      <c r="Y27" s="42"/>
      <c r="Z27" s="40"/>
      <c r="AA27" s="40"/>
      <c r="AB27" s="55"/>
      <c r="AC27" s="55"/>
      <c r="AD27" s="55"/>
      <c r="AE27" s="55"/>
      <c r="AF27" s="55"/>
      <c r="AG27" s="55"/>
      <c r="AH27" s="40"/>
      <c r="AI27" s="40"/>
      <c r="AJ27" s="40"/>
      <c r="AK27" s="40"/>
      <c r="AL27" s="40"/>
      <c r="AM27" s="40"/>
      <c r="AN27" s="40"/>
      <c r="AO27" s="40"/>
    </row>
    <row r="28" spans="1:41" x14ac:dyDescent="0.25">
      <c r="A28" s="55"/>
      <c r="B28" s="39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0"/>
      <c r="W28" s="42"/>
      <c r="X28" s="42"/>
      <c r="Y28" s="42"/>
      <c r="Z28" s="40"/>
      <c r="AA28" s="40"/>
      <c r="AB28" s="44"/>
      <c r="AC28" s="44"/>
      <c r="AD28" s="44"/>
      <c r="AE28" s="44"/>
      <c r="AF28" s="44"/>
      <c r="AG28" s="44"/>
      <c r="AH28" s="43"/>
      <c r="AI28" s="43"/>
      <c r="AJ28" s="43"/>
      <c r="AK28" s="43"/>
      <c r="AL28" s="43"/>
      <c r="AM28" s="43"/>
      <c r="AN28" s="43"/>
      <c r="AO28" s="43"/>
    </row>
    <row r="29" spans="1:41" x14ac:dyDescent="0.25">
      <c r="A29" s="55"/>
      <c r="B29" s="4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0"/>
      <c r="W29" s="42"/>
      <c r="X29" s="42"/>
      <c r="Y29" s="42"/>
      <c r="Z29" s="40"/>
      <c r="AA29" s="40">
        <f>SUM(AA10:AA28)</f>
        <v>3324.18</v>
      </c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</row>
    <row r="30" spans="1:41" x14ac:dyDescent="0.25">
      <c r="A30" s="55"/>
      <c r="V30" s="40" t="s">
        <v>30</v>
      </c>
      <c r="W30" s="42"/>
      <c r="X30" s="42"/>
      <c r="Y30" s="42"/>
      <c r="Z30" s="40"/>
      <c r="AA30" s="40">
        <v>278.7</v>
      </c>
    </row>
    <row r="31" spans="1:41" x14ac:dyDescent="0.25">
      <c r="A31" s="55"/>
      <c r="V31" s="40" t="s">
        <v>31</v>
      </c>
      <c r="W31" s="42"/>
      <c r="X31" s="42"/>
      <c r="Y31" s="42"/>
      <c r="Z31" s="40"/>
      <c r="AA31" s="40">
        <f>AA29+AA30</f>
        <v>3602.8799999999997</v>
      </c>
    </row>
    <row r="32" spans="1:41" x14ac:dyDescent="0.25">
      <c r="A32" s="55"/>
    </row>
    <row r="33" spans="1:1" x14ac:dyDescent="0.25">
      <c r="A33" s="55"/>
    </row>
    <row r="34" spans="1:1" x14ac:dyDescent="0.25">
      <c r="A34" s="55"/>
    </row>
    <row r="35" spans="1:1" x14ac:dyDescent="0.25">
      <c r="A35" s="55"/>
    </row>
    <row r="36" spans="1:1" x14ac:dyDescent="0.25">
      <c r="A36" s="44"/>
    </row>
    <row r="37" spans="1:1" x14ac:dyDescent="0.25">
      <c r="A37" s="43"/>
    </row>
  </sheetData>
  <mergeCells count="3">
    <mergeCell ref="A2:AO2"/>
    <mergeCell ref="AH1:AJ1"/>
    <mergeCell ref="N1:AB1"/>
  </mergeCells>
  <pageMargins left="0.31496062992125984" right="0.31496062992125984" top="0.74803149606299213" bottom="0.74803149606299213" header="0.31496062992125984" footer="0.31496062992125984"/>
  <pageSetup paperSize="8" scale="70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>
    <tabColor rgb="FFFFFF00"/>
  </sheetPr>
  <dimension ref="A1:Q53"/>
  <sheetViews>
    <sheetView topLeftCell="A40" workbookViewId="0">
      <selection activeCell="C48" sqref="C48"/>
    </sheetView>
  </sheetViews>
  <sheetFormatPr defaultRowHeight="15" x14ac:dyDescent="0.25"/>
  <cols>
    <col min="1" max="1" width="9.5703125" customWidth="1"/>
    <col min="2" max="14" width="6.5703125" customWidth="1"/>
  </cols>
  <sheetData>
    <row r="1" spans="1:17" ht="18.75" x14ac:dyDescent="0.3">
      <c r="A1" s="8" t="s">
        <v>166</v>
      </c>
      <c r="B1" s="9"/>
      <c r="C1" s="9"/>
      <c r="D1" s="9"/>
      <c r="E1" s="9"/>
      <c r="F1" s="9"/>
      <c r="G1" s="2" t="s">
        <v>191</v>
      </c>
      <c r="H1" s="9"/>
      <c r="I1" s="9"/>
      <c r="J1" s="9"/>
      <c r="K1" s="9"/>
      <c r="L1" s="9"/>
      <c r="M1" s="9"/>
      <c r="N1" s="9"/>
      <c r="O1" s="9"/>
      <c r="P1" s="9"/>
      <c r="Q1" s="9"/>
    </row>
    <row r="2" spans="1:17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</row>
    <row r="3" spans="1:17" x14ac:dyDescent="0.25">
      <c r="A3" s="9" t="s">
        <v>60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</row>
    <row r="4" spans="1:17" x14ac:dyDescent="0.25">
      <c r="A4" s="12" t="s">
        <v>62</v>
      </c>
      <c r="B4" s="12" t="s">
        <v>54</v>
      </c>
      <c r="C4" s="12" t="s">
        <v>55</v>
      </c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</row>
    <row r="5" spans="1:17" x14ac:dyDescent="0.25">
      <c r="A5" s="12" t="s">
        <v>46</v>
      </c>
      <c r="B5" s="12" t="s">
        <v>47</v>
      </c>
      <c r="C5" s="12" t="s">
        <v>48</v>
      </c>
      <c r="D5" s="12" t="s">
        <v>49</v>
      </c>
      <c r="E5" s="12" t="s">
        <v>50</v>
      </c>
      <c r="F5" s="12" t="s">
        <v>51</v>
      </c>
      <c r="G5" s="12" t="s">
        <v>134</v>
      </c>
      <c r="H5" s="12" t="s">
        <v>135</v>
      </c>
      <c r="I5" s="12" t="s">
        <v>52</v>
      </c>
      <c r="J5" s="12" t="s">
        <v>53</v>
      </c>
      <c r="K5" s="12"/>
      <c r="L5" s="12"/>
      <c r="M5" s="12"/>
      <c r="N5" s="12"/>
      <c r="O5" s="12"/>
      <c r="P5" s="12"/>
      <c r="Q5" s="12"/>
    </row>
    <row r="6" spans="1:17" x14ac:dyDescent="0.25">
      <c r="A6" s="13">
        <v>61.97</v>
      </c>
      <c r="B6" s="13">
        <v>2.39</v>
      </c>
      <c r="C6" s="13">
        <v>0.82</v>
      </c>
      <c r="D6" s="13">
        <v>5.37</v>
      </c>
      <c r="E6" s="13">
        <v>0.51</v>
      </c>
      <c r="F6" s="13">
        <v>7.72</v>
      </c>
      <c r="G6" s="13">
        <v>0</v>
      </c>
      <c r="H6" s="13">
        <v>0</v>
      </c>
      <c r="I6" s="13">
        <v>21.22</v>
      </c>
      <c r="J6" s="13">
        <v>23388</v>
      </c>
      <c r="K6" s="12"/>
      <c r="L6" s="12"/>
      <c r="M6" s="12"/>
      <c r="N6" s="12"/>
      <c r="O6" s="12"/>
      <c r="P6" s="12"/>
      <c r="Q6" s="12"/>
    </row>
    <row r="7" spans="1:17" x14ac:dyDescent="0.25">
      <c r="A7" s="12" t="s">
        <v>63</v>
      </c>
      <c r="B7" s="12" t="s">
        <v>54</v>
      </c>
      <c r="C7" s="12" t="s">
        <v>56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spans="1:17" x14ac:dyDescent="0.25">
      <c r="A8" s="12" t="s">
        <v>46</v>
      </c>
      <c r="B8" s="12" t="s">
        <v>47</v>
      </c>
      <c r="C8" s="12" t="s">
        <v>48</v>
      </c>
      <c r="D8" s="12" t="s">
        <v>49</v>
      </c>
      <c r="E8" s="12" t="s">
        <v>50</v>
      </c>
      <c r="F8" s="12" t="s">
        <v>51</v>
      </c>
      <c r="G8" s="12" t="s">
        <v>134</v>
      </c>
      <c r="H8" s="12" t="s">
        <v>135</v>
      </c>
      <c r="I8" s="12" t="s">
        <v>52</v>
      </c>
      <c r="J8" s="12" t="s">
        <v>53</v>
      </c>
      <c r="K8" s="12"/>
      <c r="L8" s="12"/>
      <c r="M8" s="12"/>
      <c r="N8" s="12"/>
      <c r="O8" s="12"/>
      <c r="P8" s="12"/>
      <c r="Q8" s="12"/>
    </row>
    <row r="9" spans="1:17" x14ac:dyDescent="0.25">
      <c r="A9" s="13">
        <v>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2"/>
      <c r="L9" s="12"/>
      <c r="M9" s="12"/>
      <c r="N9" s="12"/>
      <c r="O9" s="12"/>
      <c r="P9" s="12"/>
      <c r="Q9" s="12"/>
    </row>
    <row r="10" spans="1:17" x14ac:dyDescent="0.25">
      <c r="A10" s="12" t="s">
        <v>64</v>
      </c>
      <c r="B10" s="12" t="s">
        <v>54</v>
      </c>
      <c r="C10" s="12" t="s">
        <v>57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x14ac:dyDescent="0.25">
      <c r="A11" s="12" t="s">
        <v>46</v>
      </c>
      <c r="B11" s="12" t="s">
        <v>47</v>
      </c>
      <c r="C11" s="12" t="s">
        <v>48</v>
      </c>
      <c r="D11" s="12" t="s">
        <v>49</v>
      </c>
      <c r="E11" s="12" t="s">
        <v>50</v>
      </c>
      <c r="F11" s="12" t="s">
        <v>51</v>
      </c>
      <c r="G11" s="12" t="s">
        <v>134</v>
      </c>
      <c r="H11" s="12" t="s">
        <v>135</v>
      </c>
      <c r="I11" s="12" t="s">
        <v>52</v>
      </c>
      <c r="J11" s="12" t="s">
        <v>53</v>
      </c>
      <c r="K11" s="12"/>
      <c r="L11" s="12"/>
      <c r="M11" s="12"/>
      <c r="N11" s="12"/>
      <c r="O11" s="12"/>
      <c r="P11" s="12"/>
      <c r="Q11" s="12"/>
    </row>
    <row r="12" spans="1:17" x14ac:dyDescent="0.25">
      <c r="A12" s="13">
        <v>38.119999999999997</v>
      </c>
      <c r="B12" s="13">
        <v>4.07</v>
      </c>
      <c r="C12" s="13">
        <v>2.3E-2</v>
      </c>
      <c r="D12" s="13">
        <v>30.63</v>
      </c>
      <c r="E12" s="13">
        <v>0.13800000000000001</v>
      </c>
      <c r="F12" s="13">
        <v>25</v>
      </c>
      <c r="G12" s="13">
        <v>2.3E-2</v>
      </c>
      <c r="H12" s="13">
        <v>1.0999999999999999E-2</v>
      </c>
      <c r="I12" s="13">
        <v>1.9850000000000001</v>
      </c>
      <c r="J12" s="13">
        <v>13180</v>
      </c>
      <c r="K12" s="12"/>
      <c r="L12" s="12"/>
      <c r="M12" s="12"/>
      <c r="N12" s="12"/>
      <c r="O12" s="12"/>
      <c r="P12" s="12"/>
      <c r="Q12" s="12"/>
    </row>
    <row r="13" spans="1:17" x14ac:dyDescent="0.25">
      <c r="A13" s="12" t="s">
        <v>65</v>
      </c>
      <c r="B13" s="12" t="s">
        <v>54</v>
      </c>
      <c r="C13" s="12" t="s">
        <v>138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x14ac:dyDescent="0.25">
      <c r="A14" s="12" t="s">
        <v>46</v>
      </c>
      <c r="B14" s="12" t="s">
        <v>47</v>
      </c>
      <c r="C14" s="12" t="s">
        <v>48</v>
      </c>
      <c r="D14" s="12" t="s">
        <v>49</v>
      </c>
      <c r="E14" s="12" t="s">
        <v>50</v>
      </c>
      <c r="F14" s="12" t="s">
        <v>51</v>
      </c>
      <c r="G14" s="12" t="s">
        <v>134</v>
      </c>
      <c r="H14" s="12" t="s">
        <v>135</v>
      </c>
      <c r="I14" s="12" t="s">
        <v>52</v>
      </c>
      <c r="J14" s="12" t="s">
        <v>53</v>
      </c>
      <c r="K14" s="12"/>
      <c r="L14" s="12"/>
      <c r="M14" s="12"/>
      <c r="N14" s="12"/>
      <c r="O14" s="12"/>
      <c r="P14" s="12"/>
      <c r="Q14" s="12"/>
    </row>
    <row r="15" spans="1:17" x14ac:dyDescent="0.25">
      <c r="A15" s="13">
        <v>87.04</v>
      </c>
      <c r="B15" s="13">
        <v>11.4</v>
      </c>
      <c r="C15" s="13">
        <v>1</v>
      </c>
      <c r="D15" s="13">
        <v>0</v>
      </c>
      <c r="E15" s="13">
        <v>0.15</v>
      </c>
      <c r="F15" s="13">
        <v>0.04</v>
      </c>
      <c r="G15" s="13">
        <v>0</v>
      </c>
      <c r="H15" s="13">
        <v>0</v>
      </c>
      <c r="I15" s="13">
        <v>0.01</v>
      </c>
      <c r="J15" s="13">
        <v>41000</v>
      </c>
      <c r="K15" s="12"/>
      <c r="L15" s="12"/>
      <c r="M15" s="12"/>
      <c r="N15" s="12"/>
      <c r="O15" s="12"/>
      <c r="P15" s="12"/>
      <c r="Q15" s="12"/>
    </row>
    <row r="16" spans="1:17" x14ac:dyDescent="0.25">
      <c r="A16" s="12" t="s">
        <v>66</v>
      </c>
      <c r="B16" s="12" t="s">
        <v>54</v>
      </c>
      <c r="C16" s="12" t="s">
        <v>144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x14ac:dyDescent="0.25">
      <c r="A17" s="10" t="s">
        <v>46</v>
      </c>
      <c r="B17" s="10" t="s">
        <v>47</v>
      </c>
      <c r="C17" s="10" t="s">
        <v>48</v>
      </c>
      <c r="D17" s="10" t="s">
        <v>49</v>
      </c>
      <c r="E17" s="10" t="s">
        <v>50</v>
      </c>
      <c r="F17" s="10" t="s">
        <v>51</v>
      </c>
      <c r="G17" s="10" t="s">
        <v>134</v>
      </c>
      <c r="H17" s="10" t="s">
        <v>135</v>
      </c>
      <c r="I17" s="10" t="s">
        <v>52</v>
      </c>
      <c r="J17" s="10" t="s">
        <v>53</v>
      </c>
      <c r="K17" s="12"/>
      <c r="L17" s="12"/>
      <c r="M17" s="12"/>
      <c r="N17" s="12"/>
      <c r="O17" s="12"/>
      <c r="P17" s="12"/>
      <c r="Q17" s="12"/>
    </row>
    <row r="18" spans="1:17" x14ac:dyDescent="0.25">
      <c r="A18" s="15">
        <v>20.92</v>
      </c>
      <c r="B18" s="15">
        <v>1.8</v>
      </c>
      <c r="C18" s="15">
        <v>1.1000000000000001</v>
      </c>
      <c r="D18" s="15">
        <v>5.23</v>
      </c>
      <c r="E18" s="15">
        <v>0.35</v>
      </c>
      <c r="F18" s="15">
        <v>60</v>
      </c>
      <c r="G18" s="15">
        <v>0.8</v>
      </c>
      <c r="H18" s="15">
        <v>0.01</v>
      </c>
      <c r="I18" s="15">
        <v>9.7899999999999991</v>
      </c>
      <c r="J18" s="15">
        <v>8437</v>
      </c>
      <c r="K18" s="12"/>
      <c r="L18" s="12"/>
      <c r="M18" s="12"/>
      <c r="N18" s="12"/>
      <c r="O18" s="12"/>
      <c r="P18" s="12"/>
      <c r="Q18" s="12"/>
    </row>
    <row r="19" spans="1:17" x14ac:dyDescent="0.25">
      <c r="A19" s="12" t="s">
        <v>77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x14ac:dyDescent="0.25">
      <c r="A20" s="12" t="s">
        <v>80</v>
      </c>
      <c r="B20" s="12" t="s">
        <v>58</v>
      </c>
      <c r="C20" s="13">
        <v>0</v>
      </c>
      <c r="D20" s="12" t="s">
        <v>55</v>
      </c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x14ac:dyDescent="0.25">
      <c r="A21" s="12" t="s">
        <v>81</v>
      </c>
      <c r="B21" s="12" t="s">
        <v>58</v>
      </c>
      <c r="C21" s="13">
        <v>0</v>
      </c>
      <c r="D21" s="12" t="s">
        <v>56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x14ac:dyDescent="0.25">
      <c r="A22" s="12" t="s">
        <v>82</v>
      </c>
      <c r="B22" s="12" t="s">
        <v>58</v>
      </c>
      <c r="C22" s="13">
        <v>0</v>
      </c>
      <c r="D22" s="12" t="s">
        <v>57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x14ac:dyDescent="0.25">
      <c r="A23" s="12" t="s">
        <v>83</v>
      </c>
      <c r="B23" s="12" t="s">
        <v>58</v>
      </c>
      <c r="C23" s="13">
        <v>0</v>
      </c>
      <c r="D23" s="12" t="s">
        <v>138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x14ac:dyDescent="0.25">
      <c r="A24" s="10" t="s">
        <v>84</v>
      </c>
      <c r="B24" s="10" t="s">
        <v>58</v>
      </c>
      <c r="C24" s="15">
        <v>100</v>
      </c>
      <c r="D24" s="10" t="s">
        <v>144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x14ac:dyDescent="0.25">
      <c r="A25" s="12" t="s">
        <v>59</v>
      </c>
      <c r="B25" s="12" t="s">
        <v>58</v>
      </c>
      <c r="C25" s="12">
        <f>SUM(C20:C24)</f>
        <v>100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x14ac:dyDescent="0.25">
      <c r="A27" s="12" t="s">
        <v>61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x14ac:dyDescent="0.25">
      <c r="A28" s="12" t="s">
        <v>67</v>
      </c>
      <c r="B28" s="12" t="s">
        <v>54</v>
      </c>
      <c r="C28" s="12" t="s">
        <v>136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x14ac:dyDescent="0.25">
      <c r="A29" s="12" t="s">
        <v>69</v>
      </c>
      <c r="B29" s="12" t="s">
        <v>139</v>
      </c>
      <c r="C29" s="12" t="s">
        <v>140</v>
      </c>
      <c r="D29" s="12" t="s">
        <v>141</v>
      </c>
      <c r="E29" s="12" t="s">
        <v>70</v>
      </c>
      <c r="F29" s="12" t="s">
        <v>72</v>
      </c>
      <c r="G29" s="12" t="s">
        <v>68</v>
      </c>
      <c r="H29" s="12" t="s">
        <v>71</v>
      </c>
      <c r="I29" s="12" t="s">
        <v>50</v>
      </c>
      <c r="J29" s="12" t="s">
        <v>49</v>
      </c>
      <c r="K29" s="12" t="s">
        <v>172</v>
      </c>
      <c r="L29" s="12" t="s">
        <v>51</v>
      </c>
      <c r="M29" s="12" t="s">
        <v>173</v>
      </c>
      <c r="N29" s="12" t="s">
        <v>53</v>
      </c>
      <c r="O29" s="12" t="s">
        <v>46</v>
      </c>
      <c r="P29" s="12" t="s">
        <v>47</v>
      </c>
      <c r="Q29" s="12" t="s">
        <v>174</v>
      </c>
    </row>
    <row r="30" spans="1:17" x14ac:dyDescent="0.25">
      <c r="A30" s="13">
        <v>98.6</v>
      </c>
      <c r="B30" s="13">
        <v>0.37</v>
      </c>
      <c r="C30" s="13">
        <v>0.14000000000000001</v>
      </c>
      <c r="D30" s="13">
        <v>0</v>
      </c>
      <c r="E30" s="13">
        <v>0.03</v>
      </c>
      <c r="F30" s="13">
        <v>0</v>
      </c>
      <c r="G30" s="13">
        <v>0</v>
      </c>
      <c r="H30" s="13">
        <v>0</v>
      </c>
      <c r="I30" s="13">
        <v>0.86</v>
      </c>
      <c r="J30" s="13">
        <v>0</v>
      </c>
      <c r="K30" s="13">
        <v>0</v>
      </c>
      <c r="L30" s="13">
        <v>0</v>
      </c>
      <c r="M30" s="13">
        <v>0</v>
      </c>
      <c r="N30" s="13">
        <v>34000</v>
      </c>
      <c r="O30" s="13">
        <v>3.5</v>
      </c>
      <c r="P30" s="13">
        <v>1</v>
      </c>
      <c r="Q30" s="13">
        <v>0</v>
      </c>
    </row>
    <row r="31" spans="1:17" x14ac:dyDescent="0.25">
      <c r="A31" s="12" t="s">
        <v>73</v>
      </c>
      <c r="B31" s="12" t="s">
        <v>54</v>
      </c>
      <c r="C31" s="12" t="s">
        <v>137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x14ac:dyDescent="0.25">
      <c r="A32" s="12" t="s">
        <v>69</v>
      </c>
      <c r="B32" s="12" t="s">
        <v>139</v>
      </c>
      <c r="C32" s="12" t="s">
        <v>140</v>
      </c>
      <c r="D32" s="12" t="s">
        <v>141</v>
      </c>
      <c r="E32" s="12" t="s">
        <v>70</v>
      </c>
      <c r="F32" s="12" t="s">
        <v>72</v>
      </c>
      <c r="G32" s="12" t="s">
        <v>68</v>
      </c>
      <c r="H32" s="12" t="s">
        <v>71</v>
      </c>
      <c r="I32" s="12" t="s">
        <v>50</v>
      </c>
      <c r="J32" s="12" t="s">
        <v>49</v>
      </c>
      <c r="K32" s="12" t="s">
        <v>172</v>
      </c>
      <c r="L32" s="12" t="s">
        <v>51</v>
      </c>
      <c r="M32" s="12" t="s">
        <v>173</v>
      </c>
      <c r="N32" s="12" t="s">
        <v>53</v>
      </c>
      <c r="O32" s="12" t="s">
        <v>46</v>
      </c>
      <c r="P32" s="12" t="s">
        <v>47</v>
      </c>
      <c r="Q32" s="12" t="s">
        <v>174</v>
      </c>
    </row>
    <row r="33" spans="1:17" x14ac:dyDescent="0.25">
      <c r="A33" s="13">
        <v>42.9938</v>
      </c>
      <c r="B33" s="13">
        <v>1.0246</v>
      </c>
      <c r="C33" s="13">
        <v>0.4914</v>
      </c>
      <c r="D33" s="13">
        <v>0.15440000000000001</v>
      </c>
      <c r="E33" s="13">
        <v>0.3614</v>
      </c>
      <c r="F33" s="13">
        <v>0</v>
      </c>
      <c r="G33" s="13">
        <v>0</v>
      </c>
      <c r="H33" s="13">
        <v>33.374600000000001</v>
      </c>
      <c r="I33" s="13">
        <v>21.599799999999998</v>
      </c>
      <c r="J33" s="13">
        <v>0</v>
      </c>
      <c r="K33" s="13">
        <v>0</v>
      </c>
      <c r="L33" s="13">
        <v>0</v>
      </c>
      <c r="M33" s="13">
        <v>0</v>
      </c>
      <c r="N33" s="13">
        <v>16362</v>
      </c>
      <c r="O33" s="13">
        <v>3.5</v>
      </c>
      <c r="P33" s="13">
        <v>1</v>
      </c>
      <c r="Q33" s="13">
        <v>1.2941</v>
      </c>
    </row>
    <row r="34" spans="1:17" x14ac:dyDescent="0.25">
      <c r="A34" s="12" t="s">
        <v>74</v>
      </c>
      <c r="B34" s="12" t="s">
        <v>54</v>
      </c>
      <c r="C34" s="12" t="s">
        <v>143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x14ac:dyDescent="0.25">
      <c r="A35" s="12" t="s">
        <v>69</v>
      </c>
      <c r="B35" s="12" t="s">
        <v>139</v>
      </c>
      <c r="C35" s="12" t="s">
        <v>140</v>
      </c>
      <c r="D35" s="12" t="s">
        <v>141</v>
      </c>
      <c r="E35" s="12" t="s">
        <v>70</v>
      </c>
      <c r="F35" s="12" t="s">
        <v>72</v>
      </c>
      <c r="G35" s="12" t="s">
        <v>68</v>
      </c>
      <c r="H35" s="12" t="s">
        <v>71</v>
      </c>
      <c r="I35" s="12" t="s">
        <v>50</v>
      </c>
      <c r="J35" s="12" t="s">
        <v>49</v>
      </c>
      <c r="K35" s="12" t="s">
        <v>172</v>
      </c>
      <c r="L35" s="12" t="s">
        <v>51</v>
      </c>
      <c r="M35" s="12" t="s">
        <v>173</v>
      </c>
      <c r="N35" s="12" t="s">
        <v>53</v>
      </c>
      <c r="O35" s="12" t="s">
        <v>46</v>
      </c>
      <c r="P35" s="12" t="s">
        <v>47</v>
      </c>
      <c r="Q35" s="12" t="s">
        <v>174</v>
      </c>
    </row>
    <row r="36" spans="1:17" x14ac:dyDescent="0.25">
      <c r="A36" s="13">
        <v>0</v>
      </c>
      <c r="B36" s="13">
        <v>0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</row>
    <row r="37" spans="1:17" x14ac:dyDescent="0.25">
      <c r="A37" s="12" t="s">
        <v>75</v>
      </c>
      <c r="B37" s="12" t="s">
        <v>54</v>
      </c>
      <c r="C37" s="12" t="s">
        <v>142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x14ac:dyDescent="0.25">
      <c r="A38" s="12" t="s">
        <v>69</v>
      </c>
      <c r="B38" s="12" t="s">
        <v>139</v>
      </c>
      <c r="C38" s="12" t="s">
        <v>140</v>
      </c>
      <c r="D38" s="12" t="s">
        <v>141</v>
      </c>
      <c r="E38" s="12" t="s">
        <v>70</v>
      </c>
      <c r="F38" s="12" t="s">
        <v>72</v>
      </c>
      <c r="G38" s="12" t="s">
        <v>68</v>
      </c>
      <c r="H38" s="12" t="s">
        <v>71</v>
      </c>
      <c r="I38" s="12" t="s">
        <v>50</v>
      </c>
      <c r="J38" s="12" t="s">
        <v>49</v>
      </c>
      <c r="K38" s="12" t="s">
        <v>172</v>
      </c>
      <c r="L38" s="12" t="s">
        <v>51</v>
      </c>
      <c r="M38" s="12" t="s">
        <v>173</v>
      </c>
      <c r="N38" s="12" t="s">
        <v>53</v>
      </c>
      <c r="O38" s="12" t="s">
        <v>46</v>
      </c>
      <c r="P38" s="12" t="s">
        <v>47</v>
      </c>
      <c r="Q38" s="12" t="s">
        <v>174</v>
      </c>
    </row>
    <row r="39" spans="1:17" x14ac:dyDescent="0.25">
      <c r="A39" s="13">
        <v>0</v>
      </c>
      <c r="B39" s="13">
        <v>0</v>
      </c>
      <c r="C39" s="13">
        <v>0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</row>
    <row r="40" spans="1:17" x14ac:dyDescent="0.25">
      <c r="A40" s="12" t="s">
        <v>76</v>
      </c>
      <c r="B40" s="12" t="s">
        <v>54</v>
      </c>
      <c r="C40" s="12" t="s">
        <v>142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x14ac:dyDescent="0.25">
      <c r="A41" s="12" t="s">
        <v>69</v>
      </c>
      <c r="B41" s="12" t="s">
        <v>139</v>
      </c>
      <c r="C41" s="12" t="s">
        <v>140</v>
      </c>
      <c r="D41" s="12" t="s">
        <v>141</v>
      </c>
      <c r="E41" s="12" t="s">
        <v>70</v>
      </c>
      <c r="F41" s="12" t="s">
        <v>72</v>
      </c>
      <c r="G41" s="12" t="s">
        <v>68</v>
      </c>
      <c r="H41" s="12" t="s">
        <v>71</v>
      </c>
      <c r="I41" s="12" t="s">
        <v>50</v>
      </c>
      <c r="J41" s="12" t="s">
        <v>49</v>
      </c>
      <c r="K41" s="12" t="s">
        <v>172</v>
      </c>
      <c r="L41" s="12" t="s">
        <v>51</v>
      </c>
      <c r="M41" s="12" t="s">
        <v>173</v>
      </c>
      <c r="N41" s="12" t="s">
        <v>53</v>
      </c>
      <c r="O41" s="12" t="s">
        <v>46</v>
      </c>
      <c r="P41" s="12" t="s">
        <v>47</v>
      </c>
      <c r="Q41" s="12" t="s">
        <v>174</v>
      </c>
    </row>
    <row r="42" spans="1:17" x14ac:dyDescent="0.25">
      <c r="A42" s="13">
        <v>0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</row>
    <row r="43" spans="1:17" x14ac:dyDescent="0.25">
      <c r="A43" s="12" t="s">
        <v>78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x14ac:dyDescent="0.25">
      <c r="A44" s="12" t="s">
        <v>85</v>
      </c>
      <c r="B44" s="12" t="s">
        <v>58</v>
      </c>
      <c r="C44" s="13">
        <v>0</v>
      </c>
      <c r="D44" s="12" t="s">
        <v>136</v>
      </c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x14ac:dyDescent="0.25">
      <c r="A45" s="12" t="s">
        <v>86</v>
      </c>
      <c r="B45" s="12" t="s">
        <v>58</v>
      </c>
      <c r="C45" s="13">
        <v>0</v>
      </c>
      <c r="D45" s="12" t="s">
        <v>145</v>
      </c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x14ac:dyDescent="0.25">
      <c r="A46" s="12" t="s">
        <v>87</v>
      </c>
      <c r="B46" s="12" t="s">
        <v>58</v>
      </c>
      <c r="C46" s="13">
        <v>0</v>
      </c>
      <c r="D46" s="12" t="s">
        <v>146</v>
      </c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x14ac:dyDescent="0.25">
      <c r="A47" s="12" t="s">
        <v>88</v>
      </c>
      <c r="B47" s="12" t="s">
        <v>58</v>
      </c>
      <c r="C47" s="13">
        <v>0</v>
      </c>
      <c r="D47" s="12" t="s">
        <v>147</v>
      </c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x14ac:dyDescent="0.25">
      <c r="A48" s="12" t="s">
        <v>89</v>
      </c>
      <c r="B48" s="12" t="s">
        <v>58</v>
      </c>
      <c r="C48" s="13">
        <v>0</v>
      </c>
      <c r="D48" s="12" t="s">
        <v>148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x14ac:dyDescent="0.25">
      <c r="A49" s="12" t="s">
        <v>59</v>
      </c>
      <c r="B49" s="12" t="s">
        <v>58</v>
      </c>
      <c r="C49" s="12">
        <f>SUM(C44:C48)</f>
        <v>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x14ac:dyDescent="0.25">
      <c r="A51" s="12" t="s">
        <v>79</v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30" x14ac:dyDescent="0.25">
      <c r="A52" s="52" t="s">
        <v>149</v>
      </c>
      <c r="B52" s="10" t="s">
        <v>90</v>
      </c>
      <c r="C52" s="15">
        <v>1.8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30" x14ac:dyDescent="0.25">
      <c r="A53" s="14" t="s">
        <v>150</v>
      </c>
      <c r="B53" s="12" t="s">
        <v>90</v>
      </c>
      <c r="C53" s="13">
        <v>1.08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</sheetData>
  <sheetProtection selectLockedCells="1"/>
  <pageMargins left="0.70866141732283472" right="0.31496062992125984" top="0.55118110236220474" bottom="0.35433070866141736" header="0.31496062992125984" footer="0.31496062992125984"/>
  <pageSetup paperSize="9" scale="9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>
    <tabColor rgb="FFFFFF00"/>
  </sheetPr>
  <dimension ref="A1:C9"/>
  <sheetViews>
    <sheetView workbookViewId="0">
      <selection activeCell="C5" sqref="C5"/>
    </sheetView>
  </sheetViews>
  <sheetFormatPr defaultRowHeight="15" x14ac:dyDescent="0.25"/>
  <cols>
    <col min="1" max="1" width="37.85546875" customWidth="1"/>
  </cols>
  <sheetData>
    <row r="1" spans="1:3" ht="18.75" x14ac:dyDescent="0.3">
      <c r="A1" s="4" t="s">
        <v>167</v>
      </c>
    </row>
    <row r="2" spans="1:3" x14ac:dyDescent="0.25">
      <c r="A2" s="2" t="s">
        <v>191</v>
      </c>
    </row>
    <row r="3" spans="1:3" ht="30" x14ac:dyDescent="0.25">
      <c r="A3" s="5" t="s">
        <v>92</v>
      </c>
      <c r="B3" t="s">
        <v>91</v>
      </c>
      <c r="C3" s="17">
        <v>230</v>
      </c>
    </row>
    <row r="4" spans="1:3" x14ac:dyDescent="0.25">
      <c r="A4" t="s">
        <v>93</v>
      </c>
      <c r="B4" t="s">
        <v>58</v>
      </c>
      <c r="C4" s="17">
        <v>1</v>
      </c>
    </row>
    <row r="5" spans="1:3" x14ac:dyDescent="0.25">
      <c r="A5" t="s">
        <v>151</v>
      </c>
      <c r="B5" t="s">
        <v>58</v>
      </c>
      <c r="C5" s="17">
        <v>88</v>
      </c>
    </row>
    <row r="6" spans="1:3" x14ac:dyDescent="0.25">
      <c r="A6" t="s">
        <v>153</v>
      </c>
      <c r="B6" t="s">
        <v>58</v>
      </c>
      <c r="C6" s="17">
        <v>80</v>
      </c>
    </row>
    <row r="7" spans="1:3" x14ac:dyDescent="0.25">
      <c r="A7" t="s">
        <v>152</v>
      </c>
      <c r="B7" t="s">
        <v>58</v>
      </c>
      <c r="C7" s="17">
        <v>20</v>
      </c>
    </row>
    <row r="8" spans="1:3" x14ac:dyDescent="0.25">
      <c r="A8" t="s">
        <v>154</v>
      </c>
      <c r="B8" t="s">
        <v>155</v>
      </c>
      <c r="C8" s="17">
        <v>200</v>
      </c>
    </row>
    <row r="9" spans="1:3" x14ac:dyDescent="0.25">
      <c r="A9" t="s">
        <v>156</v>
      </c>
      <c r="B9" t="s">
        <v>157</v>
      </c>
      <c r="C9" s="17">
        <v>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>
    <tabColor rgb="FFFFFF00"/>
  </sheetPr>
  <dimension ref="A1:C20"/>
  <sheetViews>
    <sheetView topLeftCell="A4" workbookViewId="0">
      <selection activeCell="E14" sqref="E14"/>
    </sheetView>
  </sheetViews>
  <sheetFormatPr defaultRowHeight="15" x14ac:dyDescent="0.25"/>
  <cols>
    <col min="1" max="1" width="45.42578125" bestFit="1" customWidth="1"/>
  </cols>
  <sheetData>
    <row r="1" spans="1:3" ht="18.75" x14ac:dyDescent="0.3">
      <c r="A1" s="4" t="s">
        <v>169</v>
      </c>
    </row>
    <row r="2" spans="1:3" x14ac:dyDescent="0.25">
      <c r="A2" s="2" t="s">
        <v>191</v>
      </c>
    </row>
    <row r="3" spans="1:3" x14ac:dyDescent="0.25">
      <c r="A3" t="s">
        <v>94</v>
      </c>
      <c r="B3" t="s">
        <v>95</v>
      </c>
      <c r="C3" s="17">
        <v>65</v>
      </c>
    </row>
    <row r="4" spans="1:3" x14ac:dyDescent="0.25">
      <c r="A4" t="s">
        <v>96</v>
      </c>
      <c r="B4" t="s">
        <v>95</v>
      </c>
      <c r="C4" s="17">
        <v>65</v>
      </c>
    </row>
    <row r="5" spans="1:3" x14ac:dyDescent="0.25">
      <c r="A5" t="s">
        <v>100</v>
      </c>
      <c r="B5" t="s">
        <v>99</v>
      </c>
      <c r="C5" s="17">
        <v>40</v>
      </c>
    </row>
    <row r="6" spans="1:3" x14ac:dyDescent="0.25">
      <c r="A6" t="s">
        <v>243</v>
      </c>
      <c r="B6" s="6" t="s">
        <v>102</v>
      </c>
      <c r="C6" s="17">
        <v>380</v>
      </c>
    </row>
    <row r="7" spans="1:3" x14ac:dyDescent="0.25">
      <c r="A7" t="s">
        <v>103</v>
      </c>
      <c r="B7" s="6" t="s">
        <v>102</v>
      </c>
      <c r="C7" s="17">
        <v>145</v>
      </c>
    </row>
    <row r="8" spans="1:3" x14ac:dyDescent="0.25">
      <c r="A8" t="s">
        <v>104</v>
      </c>
      <c r="B8" s="6" t="s">
        <v>99</v>
      </c>
      <c r="C8" s="17">
        <v>0</v>
      </c>
    </row>
    <row r="9" spans="1:3" x14ac:dyDescent="0.25">
      <c r="A9" t="s">
        <v>105</v>
      </c>
      <c r="B9" s="6" t="s">
        <v>102</v>
      </c>
      <c r="C9" s="17">
        <v>0</v>
      </c>
    </row>
    <row r="10" spans="1:3" x14ac:dyDescent="0.25">
      <c r="A10" t="s">
        <v>106</v>
      </c>
      <c r="B10" s="6" t="s">
        <v>99</v>
      </c>
      <c r="C10" s="17">
        <v>0</v>
      </c>
    </row>
    <row r="11" spans="1:3" x14ac:dyDescent="0.25">
      <c r="A11" t="s">
        <v>107</v>
      </c>
      <c r="B11" s="6" t="s">
        <v>102</v>
      </c>
      <c r="C11" s="17">
        <v>0</v>
      </c>
    </row>
    <row r="12" spans="1:3" x14ac:dyDescent="0.25">
      <c r="A12" t="s">
        <v>133</v>
      </c>
      <c r="B12" t="s">
        <v>99</v>
      </c>
      <c r="C12" s="17">
        <v>4</v>
      </c>
    </row>
    <row r="13" spans="1:3" ht="30" x14ac:dyDescent="0.25">
      <c r="A13" s="5" t="s">
        <v>101</v>
      </c>
      <c r="B13" t="s">
        <v>99</v>
      </c>
      <c r="C13" s="17">
        <v>4</v>
      </c>
    </row>
    <row r="14" spans="1:3" x14ac:dyDescent="0.25">
      <c r="A14" t="s">
        <v>108</v>
      </c>
      <c r="B14" t="s">
        <v>95</v>
      </c>
      <c r="C14" s="17">
        <v>0</v>
      </c>
    </row>
    <row r="15" spans="1:3" x14ac:dyDescent="0.25">
      <c r="A15" t="s">
        <v>109</v>
      </c>
      <c r="B15" t="s">
        <v>58</v>
      </c>
      <c r="C15" s="17">
        <v>0</v>
      </c>
    </row>
    <row r="16" spans="1:3" x14ac:dyDescent="0.25">
      <c r="A16" t="s">
        <v>197</v>
      </c>
      <c r="B16" s="6" t="s">
        <v>102</v>
      </c>
      <c r="C16" s="17">
        <v>350</v>
      </c>
    </row>
    <row r="17" spans="1:3" x14ac:dyDescent="0.25">
      <c r="A17" t="s">
        <v>246</v>
      </c>
      <c r="B17" s="6" t="s">
        <v>102</v>
      </c>
      <c r="C17" s="17">
        <v>0</v>
      </c>
    </row>
    <row r="18" spans="1:3" x14ac:dyDescent="0.25">
      <c r="A18" t="s">
        <v>247</v>
      </c>
      <c r="B18" s="6" t="s">
        <v>95</v>
      </c>
      <c r="C18" s="17">
        <v>0</v>
      </c>
    </row>
    <row r="19" spans="1:3" x14ac:dyDescent="0.25">
      <c r="C19" s="11"/>
    </row>
    <row r="20" spans="1:3" x14ac:dyDescent="0.25">
      <c r="C20" s="11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9">
    <tabColor rgb="FFFFFF00"/>
  </sheetPr>
  <dimension ref="A1:C15"/>
  <sheetViews>
    <sheetView workbookViewId="0">
      <selection activeCell="C3" sqref="C3"/>
    </sheetView>
  </sheetViews>
  <sheetFormatPr defaultRowHeight="15" x14ac:dyDescent="0.25"/>
  <cols>
    <col min="1" max="1" width="39.5703125" bestFit="1" customWidth="1"/>
  </cols>
  <sheetData>
    <row r="1" spans="1:3" x14ac:dyDescent="0.25">
      <c r="A1" t="s">
        <v>192</v>
      </c>
    </row>
    <row r="3" spans="1:3" x14ac:dyDescent="0.25">
      <c r="A3" t="s">
        <v>184</v>
      </c>
      <c r="B3" t="s">
        <v>185</v>
      </c>
      <c r="C3">
        <v>0</v>
      </c>
    </row>
    <row r="4" spans="1:3" x14ac:dyDescent="0.25">
      <c r="A4" t="s">
        <v>193</v>
      </c>
      <c r="B4" t="s">
        <v>95</v>
      </c>
      <c r="C4">
        <v>0</v>
      </c>
    </row>
    <row r="5" spans="1:3" x14ac:dyDescent="0.25">
      <c r="A5" t="s">
        <v>186</v>
      </c>
      <c r="B5" s="6" t="s">
        <v>102</v>
      </c>
      <c r="C5">
        <v>0</v>
      </c>
    </row>
    <row r="6" spans="1:3" x14ac:dyDescent="0.25">
      <c r="A6" t="s">
        <v>187</v>
      </c>
      <c r="B6" s="6" t="s">
        <v>102</v>
      </c>
      <c r="C6">
        <v>0</v>
      </c>
    </row>
    <row r="7" spans="1:3" x14ac:dyDescent="0.25">
      <c r="A7" t="s">
        <v>188</v>
      </c>
      <c r="B7" s="6" t="s">
        <v>99</v>
      </c>
      <c r="C7">
        <v>0</v>
      </c>
    </row>
    <row r="8" spans="1:3" x14ac:dyDescent="0.25">
      <c r="A8" t="s">
        <v>242</v>
      </c>
    </row>
    <row r="9" spans="1:3" x14ac:dyDescent="0.25">
      <c r="A9" t="s">
        <v>242</v>
      </c>
    </row>
    <row r="10" spans="1:3" x14ac:dyDescent="0.25">
      <c r="A10" t="s">
        <v>242</v>
      </c>
    </row>
    <row r="11" spans="1:3" x14ac:dyDescent="0.25">
      <c r="A11" t="s">
        <v>242</v>
      </c>
    </row>
    <row r="12" spans="1:3" x14ac:dyDescent="0.25">
      <c r="A12" t="s">
        <v>242</v>
      </c>
    </row>
    <row r="13" spans="1:3" x14ac:dyDescent="0.25">
      <c r="A13" t="s">
        <v>242</v>
      </c>
    </row>
    <row r="14" spans="1:3" x14ac:dyDescent="0.25">
      <c r="A14" t="s">
        <v>242</v>
      </c>
    </row>
    <row r="15" spans="1:3" x14ac:dyDescent="0.25">
      <c r="A15" t="s">
        <v>242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>
    <tabColor rgb="FFFFFF00"/>
  </sheetPr>
  <dimension ref="A1:Q28"/>
  <sheetViews>
    <sheetView topLeftCell="A4" workbookViewId="0">
      <selection activeCell="C5" sqref="C5"/>
    </sheetView>
  </sheetViews>
  <sheetFormatPr defaultRowHeight="15" x14ac:dyDescent="0.25"/>
  <cols>
    <col min="1" max="1" width="45.85546875" customWidth="1"/>
    <col min="3" max="3" width="9.140625" style="11"/>
    <col min="8" max="8" width="13.5703125" bestFit="1" customWidth="1"/>
    <col min="10" max="10" width="22.85546875" bestFit="1" customWidth="1"/>
    <col min="14" max="14" width="16" bestFit="1" customWidth="1"/>
    <col min="16" max="16" width="15.140625" bestFit="1" customWidth="1"/>
  </cols>
  <sheetData>
    <row r="1" spans="1:11" ht="18.75" x14ac:dyDescent="0.3">
      <c r="A1" s="4" t="s">
        <v>170</v>
      </c>
    </row>
    <row r="2" spans="1:11" x14ac:dyDescent="0.25">
      <c r="A2" s="2"/>
    </row>
    <row r="3" spans="1:11" x14ac:dyDescent="0.25">
      <c r="A3" s="11" t="s">
        <v>111</v>
      </c>
      <c r="B3" s="11" t="s">
        <v>110</v>
      </c>
      <c r="C3" s="11">
        <v>311</v>
      </c>
    </row>
    <row r="4" spans="1:11" x14ac:dyDescent="0.25">
      <c r="A4" s="11" t="s">
        <v>112</v>
      </c>
      <c r="B4" s="11" t="s">
        <v>113</v>
      </c>
      <c r="C4" s="11">
        <v>327</v>
      </c>
    </row>
    <row r="5" spans="1:11" x14ac:dyDescent="0.25">
      <c r="A5" s="11" t="s">
        <v>114</v>
      </c>
      <c r="B5" s="11" t="s">
        <v>113</v>
      </c>
      <c r="C5" s="11">
        <v>300</v>
      </c>
    </row>
    <row r="6" spans="1:11" x14ac:dyDescent="0.25">
      <c r="A6" s="11" t="s">
        <v>115</v>
      </c>
      <c r="B6" s="11" t="s">
        <v>28</v>
      </c>
      <c r="C6" s="11">
        <v>10.8</v>
      </c>
    </row>
    <row r="7" spans="1:11" x14ac:dyDescent="0.25">
      <c r="A7" s="11" t="s">
        <v>116</v>
      </c>
      <c r="B7" s="11" t="s">
        <v>90</v>
      </c>
      <c r="C7" s="11">
        <v>1</v>
      </c>
    </row>
    <row r="8" spans="1:11" x14ac:dyDescent="0.25">
      <c r="A8" s="11" t="s">
        <v>117</v>
      </c>
      <c r="B8" s="11" t="s">
        <v>113</v>
      </c>
      <c r="C8" s="11">
        <v>5.85</v>
      </c>
    </row>
    <row r="9" spans="1:11" x14ac:dyDescent="0.25">
      <c r="A9" s="11" t="s">
        <v>118</v>
      </c>
      <c r="B9" s="11" t="s">
        <v>113</v>
      </c>
      <c r="C9" s="11">
        <v>0</v>
      </c>
    </row>
    <row r="10" spans="1:11" x14ac:dyDescent="0.25">
      <c r="A10" s="11" t="s">
        <v>124</v>
      </c>
      <c r="B10" s="11" t="s">
        <v>28</v>
      </c>
      <c r="C10" s="11">
        <v>2</v>
      </c>
    </row>
    <row r="11" spans="1:11" x14ac:dyDescent="0.25">
      <c r="A11" s="11" t="s">
        <v>119</v>
      </c>
      <c r="B11" s="11" t="s">
        <v>113</v>
      </c>
      <c r="C11" s="11">
        <v>0</v>
      </c>
    </row>
    <row r="12" spans="1:11" x14ac:dyDescent="0.25">
      <c r="A12" s="11" t="s">
        <v>120</v>
      </c>
      <c r="B12" s="16" t="s">
        <v>102</v>
      </c>
      <c r="C12" s="11">
        <v>25</v>
      </c>
    </row>
    <row r="13" spans="1:11" x14ac:dyDescent="0.25">
      <c r="A13" s="11" t="s">
        <v>121</v>
      </c>
      <c r="B13" s="16" t="s">
        <v>58</v>
      </c>
      <c r="C13" s="11">
        <v>0</v>
      </c>
    </row>
    <row r="14" spans="1:11" x14ac:dyDescent="0.25">
      <c r="A14" s="11" t="s">
        <v>122</v>
      </c>
      <c r="B14" s="16" t="s">
        <v>90</v>
      </c>
      <c r="C14" s="11">
        <v>0.54</v>
      </c>
      <c r="D14" t="s">
        <v>175</v>
      </c>
      <c r="E14">
        <v>0.54</v>
      </c>
      <c r="F14" t="s">
        <v>176</v>
      </c>
      <c r="G14">
        <v>0.54</v>
      </c>
      <c r="H14" t="s">
        <v>177</v>
      </c>
      <c r="I14">
        <v>0.59</v>
      </c>
      <c r="J14" t="s">
        <v>178</v>
      </c>
      <c r="K14">
        <v>0.56000000000000005</v>
      </c>
    </row>
    <row r="15" spans="1:11" x14ac:dyDescent="0.25">
      <c r="A15" s="11" t="s">
        <v>123</v>
      </c>
      <c r="B15" s="16" t="s">
        <v>90</v>
      </c>
      <c r="C15" s="11">
        <v>0.2</v>
      </c>
      <c r="D15" t="s">
        <v>175</v>
      </c>
      <c r="E15">
        <v>0.2</v>
      </c>
      <c r="F15" t="s">
        <v>176</v>
      </c>
      <c r="G15">
        <v>0.2</v>
      </c>
      <c r="H15" t="s">
        <v>177</v>
      </c>
      <c r="I15">
        <v>0.5</v>
      </c>
      <c r="J15" t="s">
        <v>178</v>
      </c>
      <c r="K15">
        <v>0.5</v>
      </c>
    </row>
    <row r="16" spans="1:11" x14ac:dyDescent="0.25">
      <c r="A16" s="11" t="s">
        <v>179</v>
      </c>
      <c r="B16" s="16" t="s">
        <v>90</v>
      </c>
      <c r="C16" s="11">
        <f>C10/C6</f>
        <v>0.18518518518518517</v>
      </c>
      <c r="D16" s="11" t="s">
        <v>180</v>
      </c>
    </row>
    <row r="17" spans="1:17" x14ac:dyDescent="0.25">
      <c r="A17" s="11" t="s">
        <v>125</v>
      </c>
      <c r="B17" s="16" t="s">
        <v>90</v>
      </c>
      <c r="C17" s="11">
        <v>0.35</v>
      </c>
      <c r="D17" t="s">
        <v>175</v>
      </c>
      <c r="E17">
        <v>0.65</v>
      </c>
      <c r="F17" t="s">
        <v>126</v>
      </c>
      <c r="G17">
        <v>0.55000000000000004</v>
      </c>
      <c r="H17" t="s">
        <v>127</v>
      </c>
      <c r="I17">
        <v>0.45</v>
      </c>
      <c r="J17" t="s">
        <v>128</v>
      </c>
      <c r="K17">
        <v>0.35</v>
      </c>
      <c r="L17" t="s">
        <v>129</v>
      </c>
      <c r="M17">
        <v>0.6</v>
      </c>
      <c r="N17" t="s">
        <v>130</v>
      </c>
      <c r="O17">
        <v>0.1</v>
      </c>
      <c r="P17" t="s">
        <v>189</v>
      </c>
      <c r="Q17" t="s">
        <v>190</v>
      </c>
    </row>
    <row r="18" spans="1:17" x14ac:dyDescent="0.25">
      <c r="A18" s="11" t="s">
        <v>158</v>
      </c>
      <c r="B18" s="16" t="s">
        <v>90</v>
      </c>
      <c r="C18" s="11">
        <v>0</v>
      </c>
      <c r="D18">
        <v>0.05</v>
      </c>
    </row>
    <row r="19" spans="1:17" x14ac:dyDescent="0.25">
      <c r="A19" s="11" t="s">
        <v>159</v>
      </c>
      <c r="B19" s="16" t="s">
        <v>58</v>
      </c>
      <c r="C19" s="11">
        <v>0.6</v>
      </c>
      <c r="D19" t="s">
        <v>181</v>
      </c>
    </row>
    <row r="20" spans="1:17" x14ac:dyDescent="0.25">
      <c r="A20" s="11" t="s">
        <v>160</v>
      </c>
      <c r="B20" s="16" t="s">
        <v>90</v>
      </c>
      <c r="C20" s="11">
        <v>0</v>
      </c>
      <c r="D20" t="s">
        <v>162</v>
      </c>
    </row>
    <row r="21" spans="1:17" x14ac:dyDescent="0.25">
      <c r="A21" s="11" t="s">
        <v>161</v>
      </c>
      <c r="B21" s="16" t="s">
        <v>90</v>
      </c>
      <c r="C21" s="11">
        <v>0</v>
      </c>
      <c r="D21" t="s">
        <v>163</v>
      </c>
    </row>
    <row r="22" spans="1:17" x14ac:dyDescent="0.25">
      <c r="A22" s="11" t="s">
        <v>171</v>
      </c>
      <c r="B22" s="16" t="s">
        <v>58</v>
      </c>
      <c r="C22" s="11">
        <v>0</v>
      </c>
    </row>
    <row r="23" spans="1:17" x14ac:dyDescent="0.25">
      <c r="A23" s="11" t="s">
        <v>164</v>
      </c>
      <c r="B23" s="16" t="s">
        <v>102</v>
      </c>
      <c r="C23" s="11">
        <v>25</v>
      </c>
    </row>
    <row r="24" spans="1:17" ht="30" x14ac:dyDescent="0.25">
      <c r="A24" s="53" t="s">
        <v>257</v>
      </c>
      <c r="B24" s="16" t="s">
        <v>58</v>
      </c>
      <c r="C24" s="11">
        <v>0</v>
      </c>
    </row>
    <row r="25" spans="1:17" x14ac:dyDescent="0.25">
      <c r="A25" s="11" t="s">
        <v>236</v>
      </c>
      <c r="B25" s="16" t="s">
        <v>28</v>
      </c>
      <c r="C25" s="11">
        <v>5.2</v>
      </c>
    </row>
    <row r="26" spans="1:17" x14ac:dyDescent="0.25">
      <c r="A26" s="11" t="s">
        <v>237</v>
      </c>
      <c r="B26" s="16" t="s">
        <v>28</v>
      </c>
      <c r="C26" s="11">
        <v>4.5</v>
      </c>
    </row>
    <row r="27" spans="1:17" ht="30" x14ac:dyDescent="0.25">
      <c r="A27" s="53" t="s">
        <v>258</v>
      </c>
      <c r="B27" s="16" t="s">
        <v>102</v>
      </c>
      <c r="C27" s="11">
        <v>25</v>
      </c>
    </row>
    <row r="28" spans="1:17" ht="45" x14ac:dyDescent="0.25">
      <c r="A28" s="53" t="s">
        <v>259</v>
      </c>
      <c r="B28" s="16" t="s">
        <v>90</v>
      </c>
      <c r="C28" s="11"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>
    <tabColor rgb="FFFFFF00"/>
  </sheetPr>
  <dimension ref="A1:C7"/>
  <sheetViews>
    <sheetView tabSelected="1" workbookViewId="0">
      <selection activeCell="B3" sqref="B3"/>
    </sheetView>
  </sheetViews>
  <sheetFormatPr defaultRowHeight="15" x14ac:dyDescent="0.25"/>
  <cols>
    <col min="1" max="1" width="32.5703125" bestFit="1" customWidth="1"/>
    <col min="2" max="2" width="10.140625" bestFit="1" customWidth="1"/>
  </cols>
  <sheetData>
    <row r="1" spans="1:3" ht="18.75" x14ac:dyDescent="0.3">
      <c r="A1" s="4" t="s">
        <v>194</v>
      </c>
    </row>
    <row r="2" spans="1:3" x14ac:dyDescent="0.25">
      <c r="A2" s="2" t="s">
        <v>195</v>
      </c>
      <c r="B2" t="s">
        <v>299</v>
      </c>
    </row>
    <row r="3" spans="1:3" x14ac:dyDescent="0.25">
      <c r="A3" s="2" t="s">
        <v>196</v>
      </c>
      <c r="B3" s="18" t="s">
        <v>301</v>
      </c>
    </row>
    <row r="4" spans="1:3" x14ac:dyDescent="0.25">
      <c r="A4" s="2"/>
    </row>
    <row r="5" spans="1:3" x14ac:dyDescent="0.25">
      <c r="A5" s="2"/>
    </row>
    <row r="6" spans="1:3" x14ac:dyDescent="0.25">
      <c r="A6" s="7" t="s">
        <v>131</v>
      </c>
    </row>
    <row r="7" spans="1:3" x14ac:dyDescent="0.25">
      <c r="A7" t="s">
        <v>132</v>
      </c>
      <c r="B7" t="s">
        <v>165</v>
      </c>
      <c r="C7">
        <v>46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FFFF00"/>
  </sheetPr>
  <dimension ref="A1:M23"/>
  <sheetViews>
    <sheetView topLeftCell="A10" workbookViewId="0">
      <selection activeCell="E26" sqref="E26"/>
    </sheetView>
  </sheetViews>
  <sheetFormatPr defaultRowHeight="15" x14ac:dyDescent="0.25"/>
  <cols>
    <col min="1" max="1" width="12.5703125" customWidth="1"/>
    <col min="2" max="2" width="8.85546875" customWidth="1"/>
    <col min="3" max="3" width="15.5703125" customWidth="1"/>
    <col min="4" max="4" width="10.5703125" customWidth="1"/>
    <col min="5" max="5" width="12.5703125" customWidth="1"/>
    <col min="7" max="7" width="12.5703125" customWidth="1"/>
    <col min="9" max="9" width="12.5703125" customWidth="1"/>
    <col min="11" max="11" width="12.5703125" customWidth="1"/>
    <col min="13" max="13" width="23.42578125" bestFit="1" customWidth="1"/>
  </cols>
  <sheetData>
    <row r="1" spans="1:13" ht="18.75" x14ac:dyDescent="0.3">
      <c r="A1" s="91" t="s">
        <v>265</v>
      </c>
      <c r="B1" s="92"/>
      <c r="C1" s="92"/>
      <c r="D1" s="92"/>
      <c r="E1" s="92"/>
      <c r="F1" s="92"/>
    </row>
    <row r="2" spans="1:13" x14ac:dyDescent="0.25">
      <c r="A2" s="99" t="s">
        <v>248</v>
      </c>
      <c r="B2" s="99"/>
      <c r="C2" s="99"/>
      <c r="D2" s="99"/>
      <c r="E2" s="99"/>
      <c r="F2" s="99"/>
      <c r="G2" s="99"/>
      <c r="H2" s="99"/>
      <c r="I2" s="99"/>
      <c r="J2" s="99"/>
      <c r="K2" s="5"/>
      <c r="L2" s="5"/>
    </row>
    <row r="3" spans="1:13" ht="30.75" customHeight="1" x14ac:dyDescent="0.25">
      <c r="A3" s="99" t="s">
        <v>249</v>
      </c>
      <c r="B3" s="99"/>
      <c r="C3" s="99"/>
      <c r="D3" s="99"/>
      <c r="E3" s="99"/>
      <c r="F3" s="99"/>
      <c r="G3" s="99"/>
      <c r="H3" s="99"/>
      <c r="I3" s="99"/>
      <c r="J3" s="99"/>
      <c r="K3" s="5"/>
      <c r="L3" s="5"/>
    </row>
    <row r="4" spans="1:13" x14ac:dyDescent="0.25">
      <c r="A4" s="99" t="s">
        <v>250</v>
      </c>
      <c r="B4" s="99"/>
      <c r="C4" s="99"/>
      <c r="D4" s="99"/>
      <c r="E4" s="99"/>
      <c r="F4" s="99"/>
      <c r="G4" s="99"/>
      <c r="H4" s="99"/>
      <c r="I4" s="99"/>
      <c r="J4" s="99"/>
      <c r="K4" s="5"/>
      <c r="L4" s="5"/>
    </row>
    <row r="5" spans="1:13" ht="15.75" x14ac:dyDescent="0.25">
      <c r="A5" s="93" t="s">
        <v>280</v>
      </c>
      <c r="B5" s="94"/>
      <c r="C5" s="94"/>
      <c r="D5" s="94"/>
      <c r="E5" s="94"/>
      <c r="F5" s="94"/>
      <c r="G5" s="94"/>
      <c r="H5" s="94"/>
      <c r="I5" s="94"/>
      <c r="J5" s="94"/>
      <c r="K5" s="94"/>
      <c r="L5" s="95"/>
    </row>
    <row r="7" spans="1:13" ht="15" customHeight="1" x14ac:dyDescent="0.25">
      <c r="A7" s="100" t="s">
        <v>251</v>
      </c>
      <c r="B7" s="100" t="s">
        <v>252</v>
      </c>
      <c r="C7" s="96" t="s">
        <v>264</v>
      </c>
      <c r="D7" s="96"/>
      <c r="E7" s="96" t="s">
        <v>260</v>
      </c>
      <c r="F7" s="96"/>
      <c r="G7" s="96" t="s">
        <v>261</v>
      </c>
      <c r="H7" s="96"/>
      <c r="I7" s="96" t="s">
        <v>262</v>
      </c>
      <c r="J7" s="96"/>
      <c r="K7" s="96" t="s">
        <v>263</v>
      </c>
      <c r="L7" s="96"/>
      <c r="M7" s="97" t="s">
        <v>253</v>
      </c>
    </row>
    <row r="8" spans="1:13" ht="120" x14ac:dyDescent="0.25">
      <c r="A8" s="101"/>
      <c r="B8" s="101"/>
      <c r="C8" s="46" t="s">
        <v>254</v>
      </c>
      <c r="D8" s="46" t="s">
        <v>277</v>
      </c>
      <c r="E8" s="46" t="s">
        <v>254</v>
      </c>
      <c r="F8" s="46" t="s">
        <v>255</v>
      </c>
      <c r="G8" s="46" t="s">
        <v>254</v>
      </c>
      <c r="H8" s="46" t="s">
        <v>255</v>
      </c>
      <c r="I8" s="46" t="s">
        <v>256</v>
      </c>
      <c r="J8" s="46" t="s">
        <v>255</v>
      </c>
      <c r="K8" s="46" t="s">
        <v>256</v>
      </c>
      <c r="L8" s="46" t="s">
        <v>255</v>
      </c>
      <c r="M8" s="98"/>
    </row>
    <row r="9" spans="1:13" x14ac:dyDescent="0.25">
      <c r="A9" s="47">
        <v>1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64" t="s">
        <v>266</v>
      </c>
    </row>
    <row r="10" spans="1:13" x14ac:dyDescent="0.25">
      <c r="A10" s="49">
        <v>2</v>
      </c>
      <c r="B10" s="50">
        <v>0</v>
      </c>
      <c r="C10" s="50">
        <v>0</v>
      </c>
      <c r="D10" s="50">
        <v>0</v>
      </c>
      <c r="E10" s="50">
        <v>0</v>
      </c>
      <c r="F10" s="50">
        <v>0</v>
      </c>
      <c r="G10" s="50">
        <v>0</v>
      </c>
      <c r="H10" s="50">
        <v>0</v>
      </c>
      <c r="I10" s="50">
        <v>0</v>
      </c>
      <c r="J10" s="50">
        <v>0</v>
      </c>
      <c r="K10" s="50">
        <v>0</v>
      </c>
      <c r="L10" s="50">
        <v>0</v>
      </c>
      <c r="M10" s="65" t="s">
        <v>267</v>
      </c>
    </row>
    <row r="11" spans="1:13" x14ac:dyDescent="0.25">
      <c r="A11" s="49">
        <v>3</v>
      </c>
      <c r="B11" s="50">
        <v>0</v>
      </c>
      <c r="C11" s="50">
        <v>0</v>
      </c>
      <c r="D11" s="50">
        <v>0</v>
      </c>
      <c r="E11" s="50">
        <v>0</v>
      </c>
      <c r="F11" s="50">
        <v>0</v>
      </c>
      <c r="G11" s="50">
        <v>0</v>
      </c>
      <c r="H11" s="50">
        <v>0</v>
      </c>
      <c r="I11" s="50">
        <v>0</v>
      </c>
      <c r="J11" s="50">
        <v>0</v>
      </c>
      <c r="K11" s="50">
        <v>0</v>
      </c>
      <c r="L11" s="50">
        <v>0</v>
      </c>
      <c r="M11" s="65" t="s">
        <v>281</v>
      </c>
    </row>
    <row r="12" spans="1:13" x14ac:dyDescent="0.25">
      <c r="A12" s="49">
        <v>4</v>
      </c>
      <c r="B12" s="54">
        <v>1</v>
      </c>
      <c r="C12" s="54">
        <v>2</v>
      </c>
      <c r="D12" s="54">
        <v>15</v>
      </c>
      <c r="E12" s="50">
        <v>0</v>
      </c>
      <c r="F12" s="50">
        <v>0</v>
      </c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65" t="s">
        <v>268</v>
      </c>
    </row>
    <row r="13" spans="1:13" x14ac:dyDescent="0.25">
      <c r="A13" s="49">
        <v>5</v>
      </c>
      <c r="B13" s="54">
        <v>1</v>
      </c>
      <c r="C13" s="54">
        <v>1</v>
      </c>
      <c r="D13" s="54">
        <v>14</v>
      </c>
      <c r="E13" s="51">
        <v>0</v>
      </c>
      <c r="F13" s="51">
        <v>0</v>
      </c>
      <c r="G13" s="51">
        <v>0</v>
      </c>
      <c r="H13" s="51">
        <v>0</v>
      </c>
      <c r="I13" s="51">
        <v>0</v>
      </c>
      <c r="J13" s="51">
        <v>0</v>
      </c>
      <c r="K13" s="51">
        <v>0</v>
      </c>
      <c r="L13" s="51">
        <v>0</v>
      </c>
      <c r="M13" s="65" t="s">
        <v>282</v>
      </c>
    </row>
    <row r="14" spans="1:13" x14ac:dyDescent="0.25">
      <c r="A14" s="49">
        <v>6</v>
      </c>
      <c r="B14" s="54">
        <v>1</v>
      </c>
      <c r="C14" s="54">
        <v>1</v>
      </c>
      <c r="D14" s="54">
        <v>13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0</v>
      </c>
      <c r="M14" s="65" t="s">
        <v>283</v>
      </c>
    </row>
    <row r="15" spans="1:13" x14ac:dyDescent="0.25">
      <c r="A15" s="49">
        <v>7</v>
      </c>
      <c r="B15" s="66">
        <v>0</v>
      </c>
      <c r="C15" s="66">
        <v>0</v>
      </c>
      <c r="D15" s="66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50">
        <v>0</v>
      </c>
      <c r="L15" s="50">
        <v>0</v>
      </c>
      <c r="M15" s="65" t="s">
        <v>285</v>
      </c>
    </row>
    <row r="16" spans="1:13" x14ac:dyDescent="0.25">
      <c r="A16" s="49">
        <v>8</v>
      </c>
      <c r="B16" s="66">
        <v>0</v>
      </c>
      <c r="C16" s="66">
        <v>0</v>
      </c>
      <c r="D16" s="66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65" t="s">
        <v>284</v>
      </c>
    </row>
    <row r="17" spans="1:13" x14ac:dyDescent="0.25">
      <c r="A17" s="49">
        <v>9</v>
      </c>
      <c r="B17" s="66">
        <v>0</v>
      </c>
      <c r="C17" s="66">
        <v>0</v>
      </c>
      <c r="D17" s="66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0</v>
      </c>
      <c r="L17" s="50">
        <v>0</v>
      </c>
      <c r="M17" s="65" t="s">
        <v>287</v>
      </c>
    </row>
    <row r="18" spans="1:13" x14ac:dyDescent="0.25">
      <c r="A18" s="49">
        <v>10</v>
      </c>
      <c r="B18" s="66">
        <v>0</v>
      </c>
      <c r="C18" s="66">
        <v>0</v>
      </c>
      <c r="D18" s="66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50">
        <v>0</v>
      </c>
      <c r="L18" s="50">
        <v>0</v>
      </c>
      <c r="M18" s="65" t="s">
        <v>288</v>
      </c>
    </row>
    <row r="19" spans="1:13" x14ac:dyDescent="0.25">
      <c r="A19" s="49">
        <v>11</v>
      </c>
      <c r="B19" s="66">
        <v>0</v>
      </c>
      <c r="C19" s="66">
        <v>0</v>
      </c>
      <c r="D19" s="66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50">
        <v>0</v>
      </c>
      <c r="L19" s="50">
        <v>0</v>
      </c>
      <c r="M19" s="65" t="s">
        <v>289</v>
      </c>
    </row>
    <row r="20" spans="1:13" x14ac:dyDescent="0.25">
      <c r="A20" s="49">
        <v>12</v>
      </c>
      <c r="B20" s="66">
        <v>0</v>
      </c>
      <c r="C20" s="66">
        <v>0</v>
      </c>
      <c r="D20" s="66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50">
        <v>0</v>
      </c>
      <c r="L20" s="50">
        <v>0</v>
      </c>
      <c r="M20" s="65" t="s">
        <v>300</v>
      </c>
    </row>
    <row r="21" spans="1:13" x14ac:dyDescent="0.25">
      <c r="A21" s="49">
        <v>13</v>
      </c>
      <c r="B21" s="66">
        <v>0</v>
      </c>
      <c r="C21" s="66">
        <v>0</v>
      </c>
      <c r="D21" s="66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65" t="s">
        <v>286</v>
      </c>
    </row>
    <row r="22" spans="1:13" x14ac:dyDescent="0.25">
      <c r="A22" s="49">
        <v>14</v>
      </c>
      <c r="B22" s="66">
        <v>0</v>
      </c>
      <c r="C22" s="66">
        <v>0</v>
      </c>
      <c r="D22" s="66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65" t="s">
        <v>278</v>
      </c>
    </row>
    <row r="23" spans="1:13" x14ac:dyDescent="0.25">
      <c r="A23" s="49">
        <v>15</v>
      </c>
      <c r="B23" s="66">
        <v>0</v>
      </c>
      <c r="C23" s="66">
        <v>0</v>
      </c>
      <c r="D23" s="66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65" t="s">
        <v>279</v>
      </c>
    </row>
  </sheetData>
  <mergeCells count="13">
    <mergeCell ref="A1:F1"/>
    <mergeCell ref="A5:L5"/>
    <mergeCell ref="K7:L7"/>
    <mergeCell ref="M7:M8"/>
    <mergeCell ref="A2:J2"/>
    <mergeCell ref="A3:J3"/>
    <mergeCell ref="A4:J4"/>
    <mergeCell ref="A7:A8"/>
    <mergeCell ref="B7:B8"/>
    <mergeCell ref="C7:D7"/>
    <mergeCell ref="E7:F7"/>
    <mergeCell ref="G7:H7"/>
    <mergeCell ref="I7:J7"/>
  </mergeCells>
  <pageMargins left="0.31496062992125984" right="0.31496062992125984" top="0.74803149606299213" bottom="0.74803149606299213" header="0.31496062992125984" footer="0.31496062992125984"/>
  <pageSetup paperSize="9" scale="9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10</vt:i4>
      </vt:variant>
      <vt:variant>
        <vt:lpstr>Névvel ellátott tartományok</vt:lpstr>
      </vt:variant>
      <vt:variant>
        <vt:i4>1</vt:i4>
      </vt:variant>
    </vt:vector>
  </HeadingPairs>
  <TitlesOfParts>
    <vt:vector size="11" baseType="lpstr">
      <vt:lpstr>Altalanos</vt:lpstr>
      <vt:lpstr>Thom</vt:lpstr>
      <vt:lpstr>Rhom</vt:lpstr>
      <vt:lpstr>Tua</vt:lpstr>
      <vt:lpstr>Hatfok</vt:lpstr>
      <vt:lpstr>Gozpar</vt:lpstr>
      <vt:lpstr>Vizpar</vt:lpstr>
      <vt:lpstr>Tuztadat</vt:lpstr>
      <vt:lpstr>Vegyes</vt:lpstr>
      <vt:lpstr>Logika</vt:lpstr>
      <vt:lpstr>Tuztadat!Nyomtatási_terület</vt:lpstr>
    </vt:vector>
  </TitlesOfParts>
  <Company>MVMI Informatika ZRt.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Kotnyek József</dc:creator>
  <cp:lastModifiedBy>Windows-felhasználó</cp:lastModifiedBy>
  <cp:lastPrinted>2018-02-08T06:43:30Z</cp:lastPrinted>
  <dcterms:created xsi:type="dcterms:W3CDTF">2014-05-30T05:34:52Z</dcterms:created>
  <dcterms:modified xsi:type="dcterms:W3CDTF">2019-03-14T09:55:56Z</dcterms:modified>
</cp:coreProperties>
</file>